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W\Excel\"/>
    </mc:Choice>
  </mc:AlternateContent>
  <xr:revisionPtr revIDLastSave="0" documentId="13_ncr:1_{9D8A4B35-024B-4649-8B85-252072298292}" xr6:coauthVersionLast="47" xr6:coauthVersionMax="47" xr10:uidLastSave="{00000000-0000-0000-0000-000000000000}"/>
  <bookViews>
    <workbookView xWindow="-110" yWindow="-110" windowWidth="19420" windowHeight="10300" xr2:uid="{2DC3F2B7-9CF6-40D6-BDDB-58483D7AE2FA}"/>
  </bookViews>
  <sheets>
    <sheet name="Students Grade" sheetId="1" r:id="rId1"/>
    <sheet name="Sales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1" l="1"/>
  <c r="H21" i="1"/>
  <c r="I21" i="1" s="1"/>
  <c r="K21" i="1"/>
  <c r="L21" i="1"/>
  <c r="J17" i="2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J18" i="2"/>
  <c r="J19" i="2"/>
  <c r="J20" i="2"/>
  <c r="J21" i="2"/>
  <c r="D31" i="2"/>
  <c r="E30" i="3"/>
  <c r="B43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P2" i="1"/>
  <c r="O2" i="1"/>
  <c r="K19" i="1"/>
  <c r="K2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" i="1"/>
  <c r="F26" i="3"/>
  <c r="B38" i="2"/>
  <c r="G33" i="1"/>
  <c r="F30" i="1"/>
  <c r="A35" i="2"/>
  <c r="F2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" i="1"/>
  <c r="A3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B27" i="3"/>
  <c r="B26" i="2"/>
  <c r="A27" i="1"/>
  <c r="G2" i="1"/>
  <c r="H2" i="1"/>
  <c r="I2" i="1" s="1"/>
  <c r="G3" i="1"/>
  <c r="H3" i="1"/>
  <c r="I3" i="1"/>
  <c r="G4" i="1"/>
  <c r="H4" i="1"/>
  <c r="I4" i="1" s="1"/>
  <c r="G5" i="1"/>
  <c r="H5" i="1"/>
  <c r="I5" i="1"/>
  <c r="G6" i="1"/>
  <c r="H6" i="1"/>
  <c r="I6" i="1"/>
  <c r="G7" i="1"/>
  <c r="H7" i="1"/>
  <c r="I7" i="1" s="1"/>
  <c r="G8" i="1"/>
  <c r="H8" i="1"/>
  <c r="I8" i="1"/>
  <c r="G9" i="1"/>
  <c r="H9" i="1"/>
  <c r="I9" i="1"/>
  <c r="G10" i="1"/>
  <c r="H10" i="1"/>
  <c r="I10" i="1"/>
  <c r="G11" i="1"/>
  <c r="H11" i="1"/>
  <c r="I11" i="1" s="1"/>
  <c r="G12" i="1"/>
  <c r="H12" i="1"/>
  <c r="I12" i="1"/>
  <c r="G13" i="1"/>
  <c r="H13" i="1"/>
  <c r="I13" i="1"/>
  <c r="G14" i="1"/>
  <c r="H14" i="1"/>
  <c r="I14" i="1"/>
  <c r="G15" i="1"/>
  <c r="H15" i="1"/>
  <c r="I15" i="1" s="1"/>
  <c r="G16" i="1"/>
  <c r="H16" i="1"/>
  <c r="I16" i="1"/>
  <c r="G17" i="1"/>
  <c r="H17" i="1"/>
  <c r="I17" i="1"/>
  <c r="G18" i="1"/>
  <c r="H18" i="1"/>
  <c r="I18" i="1"/>
  <c r="G19" i="1"/>
  <c r="H19" i="1"/>
  <c r="I19" i="1" s="1"/>
  <c r="G20" i="1"/>
  <c r="H20" i="1"/>
  <c r="I20" i="1"/>
  <c r="E35" i="3"/>
</calcChain>
</file>

<file path=xl/sharedStrings.xml><?xml version="1.0" encoding="utf-8"?>
<sst xmlns="http://schemas.openxmlformats.org/spreadsheetml/2006/main" count="183" uniqueCount="120">
  <si>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</si>
  <si>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</si>
  <si>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</si>
  <si>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</si>
  <si>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</si>
  <si>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</si>
  <si>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</si>
  <si>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</si>
  <si>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</si>
  <si>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</si>
  <si>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</si>
  <si>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</si>
  <si>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</si>
  <si>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</si>
  <si>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</si>
  <si>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</si>
  <si>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</si>
  <si>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</si>
  <si>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</si>
  <si>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</si>
  <si>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</si>
  <si>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</si>
  <si>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</si>
  <si>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</si>
  <si>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</si>
  <si>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</si>
  <si>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</si>
  <si>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</si>
  <si>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</si>
  <si>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</si>
  <si>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</si>
  <si>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</si>
  <si>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</si>
  <si>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</si>
  <si>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</si>
  <si>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</si>
  <si>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</si>
  <si>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</si>
  <si>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</si>
  <si>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</si>
  <si>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</si>
  <si>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</si>
  <si>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</si>
  <si>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</si>
  <si>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</si>
  <si>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</si>
  <si>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</si>
  <si>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</si>
  <si>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</si>
  <si>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</si>
  <si>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</si>
  <si>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</si>
  <si>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</si>
  <si>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</si>
  <si>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</si>
  <si>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</si>
  <si>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</si>
  <si>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</si>
  <si>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</si>
  <si>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</si>
  <si>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Total Score</t>
  </si>
  <si>
    <t>Average</t>
  </si>
  <si>
    <t>Grade</t>
  </si>
  <si>
    <t>COUNTIFS</t>
  </si>
  <si>
    <t>Price</t>
  </si>
  <si>
    <t>VLOOKUP</t>
  </si>
  <si>
    <t>XLOOKUP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</si>
  <si>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</si>
  <si>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</si>
  <si>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</si>
  <si>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</si>
  <si>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</si>
  <si>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</si>
  <si>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</si>
  <si>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</si>
  <si>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</si>
  <si>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</si>
  <si>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</si>
  <si>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</si>
  <si>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</si>
  <si>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</si>
  <si>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</si>
  <si>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</si>
  <si>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</si>
  <si>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</si>
  <si>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</si>
  <si>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</si>
  <si>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</si>
  <si>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</si>
  <si>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</si>
  <si>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</si>
  <si>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</si>
  <si>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</si>
  <si>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</si>
  <si>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</si>
  <si>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Joining Year</t>
  </si>
  <si>
    <t>Years of Service</t>
  </si>
  <si>
    <t>FILTER</t>
  </si>
  <si>
    <t>Discount</t>
  </si>
  <si>
    <t>Students above 80 in Math &amp; Science</t>
  </si>
  <si>
    <t>COUNTIF</t>
  </si>
  <si>
    <t>SUMIFS</t>
  </si>
  <si>
    <t>Avg Math score</t>
  </si>
  <si>
    <t>Stud ID</t>
  </si>
  <si>
    <t>Stud Name</t>
  </si>
  <si>
    <t>Rahi Rao</t>
  </si>
  <si>
    <t>First Name</t>
  </si>
  <si>
    <t>Upper Case</t>
  </si>
  <si>
    <t>Lower Case</t>
  </si>
  <si>
    <t>Sales</t>
  </si>
  <si>
    <t>Position</t>
  </si>
  <si>
    <t>C12</t>
  </si>
  <si>
    <t>Data</t>
  </si>
  <si>
    <t>Reference</t>
  </si>
  <si>
    <t>OFFSET</t>
  </si>
  <si>
    <t>Age</t>
  </si>
  <si>
    <t>Date Diff</t>
  </si>
  <si>
    <t>CEILING</t>
  </si>
  <si>
    <t>FLOOR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</si>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</sst>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2" fontId="0" fillId="0" borderId="17" xfId="0" applyNumberFormat="1" applyBorder="1" applyAlignment="1">
      <alignment horizontal="center" vertical="center"/>
    </xf>
    <xf numFmtId="22" fontId="0" fillId="0" borderId="11" xfId="0" applyNumberFormat="1" applyBorder="1" applyAlignment="1">
      <alignment horizontal="center" vertical="center"/>
    </xf>
    <xf numFmtId="22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4E44-1B8F-4A44-BF16-2EEDF2D1D0EE}">
  <dimension ref="A1:P33"/>
  <sheetViews>
    <sheetView tabSelected="1" topLeftCell="A15" zoomScale="90" zoomScaleNormal="90" workbookViewId="0">
      <selection activeCell="D29" sqref="D29"/>
    </sheetView>
  </sheetViews>
  <sheetFormatPr defaultRowHeight="14.5" x14ac:dyDescent="0.35"/>
  <cols>
    <col min="1" max="1" width="11" style="6" customWidth="1"/>
    <col min="2" max="2" width="10.81640625" style="6" customWidth="1"/>
    <col min="3" max="3" width="10.453125" style="6" customWidth="1"/>
    <col min="4" max="4" width="12.36328125" style="6" customWidth="1"/>
    <col min="5" max="5" width="8.7265625" style="6"/>
    <col min="6" max="6" width="14.90625" style="6" customWidth="1"/>
    <col min="7" max="7" width="10.6328125" style="6" customWidth="1"/>
    <col min="8" max="10" width="8.7265625" style="6"/>
    <col min="11" max="11" width="12.7265625" style="6" customWidth="1"/>
    <col min="12" max="12" width="33.90625" style="6" bestFit="1" customWidth="1"/>
    <col min="13" max="13" width="14" style="6" bestFit="1" customWidth="1"/>
    <col min="14" max="14" width="12.90625" style="6" customWidth="1"/>
    <col min="15" max="15" width="10.6328125" style="6" bestFit="1" customWidth="1"/>
    <col min="16" max="16" width="10.36328125" style="6" bestFit="1" customWidth="1"/>
    <col min="17" max="16384" width="8.7265625" style="6"/>
  </cols>
  <sheetData>
    <row r="1" spans="1:16" ht="26.5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5" t="s">
        <v>60</v>
      </c>
      <c r="H1" s="41" t="s">
        <v>61</v>
      </c>
      <c r="I1" s="41" t="s">
        <v>62</v>
      </c>
      <c r="J1" s="41"/>
      <c r="K1" s="41" t="s">
        <v>106</v>
      </c>
      <c r="L1" s="26" t="s">
        <v>99</v>
      </c>
      <c r="N1" s="30" t="s">
        <v>119</v>
      </c>
      <c r="O1" s="25" t="s">
        <v>107</v>
      </c>
      <c r="P1" s="26" t="s">
        <v>108</v>
      </c>
    </row>
    <row r="2" spans="1:16" ht="15" thickBot="1" x14ac:dyDescent="0.4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5">
        <v>43101</v>
      </c>
      <c r="G2" s="15">
        <f>SUM(C2:E2)</f>
        <v>185</v>
      </c>
      <c r="H2" s="39">
        <f>AVERAGE(C2:E2)</f>
        <v>61.666666666666664</v>
      </c>
      <c r="I2" s="21" t="str">
        <f>_xlfn.IFS(H2&gt;80,"A",H2&gt;70,"B",H2&gt;60,"C", H2&gt;50,"D",TRUE,"F")</f>
        <v>C</v>
      </c>
      <c r="J2" s="21"/>
      <c r="K2" s="21" t="str">
        <f>LEFT(B2,FIND(" ",B2)-1)</f>
        <v>Student</v>
      </c>
      <c r="L2" s="22" t="str">
        <f>IF(AND(C2&gt;80,D2&gt;80),"Yes","No")</f>
        <v>No</v>
      </c>
      <c r="N2" s="42">
        <f>ROUND(H2,1)</f>
        <v>61.7</v>
      </c>
      <c r="O2" s="15" t="str">
        <f>UPPER(B2)</f>
        <v>STUDENT 1</v>
      </c>
      <c r="P2" s="22" t="str">
        <f>LOWER(B2)</f>
        <v>student 1</v>
      </c>
    </row>
    <row r="3" spans="1:16" ht="15" thickBot="1" x14ac:dyDescent="0.4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 s="15">
        <f t="shared" ref="G3:G21" si="0">SUM(C3:E3)</f>
        <v>224</v>
      </c>
      <c r="H3" s="39">
        <f t="shared" ref="H3:H21" si="1">AVERAGE(C3:E3)</f>
        <v>74.666666666666671</v>
      </c>
      <c r="I3" s="21" t="str">
        <f t="shared" ref="I3:I21" si="2">_xlfn.IFS(H3&gt;80,"A",H3&gt;70,"B",H3&gt;60,"C", H3&gt;50,"D",TRUE,"F")</f>
        <v>B</v>
      </c>
      <c r="J3" s="21"/>
      <c r="K3" s="21" t="str">
        <f t="shared" ref="K3:K21" si="3">LEFT(B3,FIND(" ",B3)-1)</f>
        <v>Student</v>
      </c>
      <c r="L3" s="22" t="str">
        <f>IF(AND(C3&gt;80,D3&gt;80),"Yes","No")</f>
        <v>No</v>
      </c>
      <c r="N3" s="43">
        <f>ROUND(H3,1)</f>
        <v>74.7</v>
      </c>
      <c r="O3" s="15" t="str">
        <f t="shared" ref="O3:O21" si="4">UPPER(B3)</f>
        <v>STUDENT 2</v>
      </c>
      <c r="P3" s="22" t="str">
        <f t="shared" ref="P3:P21" si="5">LOWER(B3)</f>
        <v>student 2</v>
      </c>
    </row>
    <row r="4" spans="1:16" ht="15" thickBot="1" x14ac:dyDescent="0.4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5">
        <v>43461</v>
      </c>
      <c r="G4" s="15">
        <f t="shared" si="0"/>
        <v>208</v>
      </c>
      <c r="H4" s="39">
        <f t="shared" si="1"/>
        <v>69.333333333333329</v>
      </c>
      <c r="I4" s="21" t="str">
        <f t="shared" si="2"/>
        <v>C</v>
      </c>
      <c r="J4" s="21"/>
      <c r="K4" s="21" t="str">
        <f t="shared" si="3"/>
        <v>Student</v>
      </c>
      <c r="L4" s="22" t="str">
        <f>IF(AND(C4&gt;80,D4&gt;80),"Yes","No")</f>
        <v>No</v>
      </c>
      <c r="N4" s="43">
        <f>ROUND(H4,1)</f>
        <v>69.3</v>
      </c>
      <c r="O4" s="15" t="str">
        <f t="shared" si="4"/>
        <v>STUDENT 3</v>
      </c>
      <c r="P4" s="22" t="str">
        <f t="shared" si="5"/>
        <v>student 3</v>
      </c>
    </row>
    <row r="5" spans="1:16" ht="15" thickBot="1" x14ac:dyDescent="0.4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 s="15">
        <f t="shared" si="0"/>
        <v>175</v>
      </c>
      <c r="H5" s="39">
        <f t="shared" si="1"/>
        <v>58.333333333333336</v>
      </c>
      <c r="I5" s="21" t="str">
        <f t="shared" si="2"/>
        <v>D</v>
      </c>
      <c r="J5" s="21"/>
      <c r="K5" s="21" t="str">
        <f t="shared" si="3"/>
        <v>Student</v>
      </c>
      <c r="L5" s="22" t="str">
        <f>IF(AND(C5&gt;80,D5&gt;80),"Yes","No")</f>
        <v>No</v>
      </c>
      <c r="N5" s="43">
        <f>ROUND(H5,1)</f>
        <v>58.3</v>
      </c>
      <c r="O5" s="15" t="str">
        <f t="shared" si="4"/>
        <v>STUDENT 4</v>
      </c>
      <c r="P5" s="22" t="str">
        <f t="shared" si="5"/>
        <v>student 4</v>
      </c>
    </row>
    <row r="6" spans="1:16" ht="15" thickBot="1" x14ac:dyDescent="0.4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5">
        <v>43821</v>
      </c>
      <c r="G6" s="15">
        <f t="shared" si="0"/>
        <v>226</v>
      </c>
      <c r="H6" s="39">
        <f t="shared" si="1"/>
        <v>75.333333333333329</v>
      </c>
      <c r="I6" s="21" t="str">
        <f t="shared" si="2"/>
        <v>B</v>
      </c>
      <c r="J6" s="21"/>
      <c r="K6" s="21" t="str">
        <f t="shared" si="3"/>
        <v>Student</v>
      </c>
      <c r="L6" s="22" t="str">
        <f>IF(AND(C6&gt;80,D6&gt;80),"Yes","No")</f>
        <v>No</v>
      </c>
      <c r="N6" s="43">
        <f>ROUND(H6,1)</f>
        <v>75.3</v>
      </c>
      <c r="O6" s="15" t="str">
        <f t="shared" si="4"/>
        <v>STUDENT 5</v>
      </c>
      <c r="P6" s="22" t="str">
        <f t="shared" si="5"/>
        <v>student 5</v>
      </c>
    </row>
    <row r="7" spans="1:16" ht="15" thickBot="1" x14ac:dyDescent="0.4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 s="15">
        <f t="shared" si="0"/>
        <v>215</v>
      </c>
      <c r="H7" s="39">
        <f t="shared" si="1"/>
        <v>71.666666666666671</v>
      </c>
      <c r="I7" s="21" t="str">
        <f t="shared" si="2"/>
        <v>B</v>
      </c>
      <c r="J7" s="21"/>
      <c r="K7" s="21" t="str">
        <f t="shared" si="3"/>
        <v>Student</v>
      </c>
      <c r="L7" s="22" t="str">
        <f>IF(AND(C7&gt;80,D7&gt;80),"Yes","No")</f>
        <v>No</v>
      </c>
      <c r="N7" s="43">
        <f>ROUND(H7,1)</f>
        <v>71.7</v>
      </c>
      <c r="O7" s="15" t="str">
        <f t="shared" si="4"/>
        <v>STUDENT 6</v>
      </c>
      <c r="P7" s="22" t="str">
        <f t="shared" si="5"/>
        <v>student 6</v>
      </c>
    </row>
    <row r="8" spans="1:16" ht="15" thickBot="1" x14ac:dyDescent="0.4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5">
        <v>44181</v>
      </c>
      <c r="G8" s="15">
        <f t="shared" si="0"/>
        <v>200</v>
      </c>
      <c r="H8" s="39">
        <f t="shared" si="1"/>
        <v>66.666666666666671</v>
      </c>
      <c r="I8" s="21" t="str">
        <f t="shared" si="2"/>
        <v>C</v>
      </c>
      <c r="J8" s="21"/>
      <c r="K8" s="21" t="str">
        <f t="shared" si="3"/>
        <v>Student</v>
      </c>
      <c r="L8" s="22" t="str">
        <f>IF(AND(C8&gt;80,D8&gt;80),"Yes","No")</f>
        <v>No</v>
      </c>
      <c r="N8" s="43">
        <f>ROUND(H8,1)</f>
        <v>66.7</v>
      </c>
      <c r="O8" s="15" t="str">
        <f t="shared" si="4"/>
        <v>STUDENT 7</v>
      </c>
      <c r="P8" s="22" t="str">
        <f t="shared" si="5"/>
        <v>student 7</v>
      </c>
    </row>
    <row r="9" spans="1:16" ht="15" thickBot="1" x14ac:dyDescent="0.4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 s="15">
        <f t="shared" si="0"/>
        <v>225</v>
      </c>
      <c r="H9" s="39">
        <f t="shared" si="1"/>
        <v>75</v>
      </c>
      <c r="I9" s="21" t="str">
        <f t="shared" si="2"/>
        <v>B</v>
      </c>
      <c r="J9" s="21"/>
      <c r="K9" s="21" t="str">
        <f t="shared" si="3"/>
        <v>Student</v>
      </c>
      <c r="L9" s="22" t="str">
        <f>IF(AND(C9&gt;80,D9&gt;80),"Yes","No")</f>
        <v>No</v>
      </c>
      <c r="N9" s="43">
        <f>ROUND(H9,1)</f>
        <v>75</v>
      </c>
      <c r="O9" s="15" t="str">
        <f t="shared" si="4"/>
        <v>STUDENT 8</v>
      </c>
      <c r="P9" s="22" t="str">
        <f t="shared" si="5"/>
        <v>student 8</v>
      </c>
    </row>
    <row r="10" spans="1:16" ht="15" thickBot="1" x14ac:dyDescent="0.4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5">
        <v>44541</v>
      </c>
      <c r="G10" s="15">
        <f t="shared" si="0"/>
        <v>172</v>
      </c>
      <c r="H10" s="39">
        <f t="shared" si="1"/>
        <v>57.333333333333336</v>
      </c>
      <c r="I10" s="21" t="str">
        <f t="shared" si="2"/>
        <v>D</v>
      </c>
      <c r="J10" s="21"/>
      <c r="K10" s="21" t="str">
        <f t="shared" si="3"/>
        <v>Student</v>
      </c>
      <c r="L10" s="22" t="str">
        <f>IF(AND(C10&gt;80,D10&gt;80),"Yes","No")</f>
        <v>No</v>
      </c>
      <c r="N10" s="43">
        <f>ROUND(H10,1)</f>
        <v>57.3</v>
      </c>
      <c r="O10" s="15" t="str">
        <f t="shared" si="4"/>
        <v>STUDENT 9</v>
      </c>
      <c r="P10" s="22" t="str">
        <f t="shared" si="5"/>
        <v>student 9</v>
      </c>
    </row>
    <row r="11" spans="1:16" ht="15" thickBot="1" x14ac:dyDescent="0.4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 s="15">
        <f t="shared" si="0"/>
        <v>210</v>
      </c>
      <c r="H11" s="39">
        <f t="shared" si="1"/>
        <v>70</v>
      </c>
      <c r="I11" s="21" t="str">
        <f t="shared" si="2"/>
        <v>C</v>
      </c>
      <c r="J11" s="21"/>
      <c r="K11" s="21" t="str">
        <f t="shared" si="3"/>
        <v>Student</v>
      </c>
      <c r="L11" s="22" t="str">
        <f>IF(AND(C11&gt;80,D11&gt;80),"Yes","No")</f>
        <v>No</v>
      </c>
      <c r="N11" s="43">
        <f>ROUND(H11,1)</f>
        <v>70</v>
      </c>
      <c r="O11" s="15" t="str">
        <f t="shared" si="4"/>
        <v>STUDENT 10</v>
      </c>
      <c r="P11" s="22" t="str">
        <f t="shared" si="5"/>
        <v>student 10</v>
      </c>
    </row>
    <row r="12" spans="1:16" ht="15" thickBot="1" x14ac:dyDescent="0.4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5">
        <v>44901</v>
      </c>
      <c r="G12" s="15">
        <f t="shared" si="0"/>
        <v>205</v>
      </c>
      <c r="H12" s="39">
        <f t="shared" si="1"/>
        <v>68.333333333333329</v>
      </c>
      <c r="I12" s="21" t="str">
        <f t="shared" si="2"/>
        <v>C</v>
      </c>
      <c r="J12" s="21"/>
      <c r="K12" s="21" t="str">
        <f t="shared" si="3"/>
        <v>Student</v>
      </c>
      <c r="L12" s="22" t="str">
        <f>IF(AND(C12&gt;80,D12&gt;80),"Yes","No")</f>
        <v>No</v>
      </c>
      <c r="N12" s="43">
        <f>ROUND(H12,1)</f>
        <v>68.3</v>
      </c>
      <c r="O12" s="15" t="str">
        <f t="shared" si="4"/>
        <v>STUDENT 11</v>
      </c>
      <c r="P12" s="22" t="str">
        <f t="shared" si="5"/>
        <v>student 11</v>
      </c>
    </row>
    <row r="13" spans="1:16" ht="15" thickBot="1" x14ac:dyDescent="0.4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 s="15">
        <f t="shared" si="0"/>
        <v>253</v>
      </c>
      <c r="H13" s="39">
        <f t="shared" si="1"/>
        <v>84.333333333333329</v>
      </c>
      <c r="I13" s="21" t="str">
        <f t="shared" si="2"/>
        <v>A</v>
      </c>
      <c r="J13" s="21"/>
      <c r="K13" s="21" t="str">
        <f t="shared" si="3"/>
        <v>Student</v>
      </c>
      <c r="L13" s="22" t="str">
        <f>IF(AND(C13&gt;80,D13&gt;80),"Yes","No")</f>
        <v>Yes</v>
      </c>
      <c r="N13" s="43">
        <f>ROUND(H13,1)</f>
        <v>84.3</v>
      </c>
      <c r="O13" s="15" t="str">
        <f t="shared" si="4"/>
        <v>STUDENT 12</v>
      </c>
      <c r="P13" s="22" t="str">
        <f t="shared" si="5"/>
        <v>student 12</v>
      </c>
    </row>
    <row r="14" spans="1:16" ht="15" thickBot="1" x14ac:dyDescent="0.4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5">
        <v>45261</v>
      </c>
      <c r="G14" s="15">
        <f t="shared" si="0"/>
        <v>285</v>
      </c>
      <c r="H14" s="39">
        <f t="shared" si="1"/>
        <v>95</v>
      </c>
      <c r="I14" s="21" t="str">
        <f t="shared" si="2"/>
        <v>A</v>
      </c>
      <c r="J14" s="21"/>
      <c r="K14" s="21" t="str">
        <f t="shared" si="3"/>
        <v>Student</v>
      </c>
      <c r="L14" s="22" t="str">
        <f>IF(AND(C14&gt;80,D14&gt;80),"Yes","No")</f>
        <v>Yes</v>
      </c>
      <c r="N14" s="43">
        <f>ROUND(H14,1)</f>
        <v>95</v>
      </c>
      <c r="O14" s="15" t="str">
        <f t="shared" si="4"/>
        <v>STUDENT 13</v>
      </c>
      <c r="P14" s="22" t="str">
        <f t="shared" si="5"/>
        <v>student 13</v>
      </c>
    </row>
    <row r="15" spans="1:16" ht="15" thickBot="1" x14ac:dyDescent="0.4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 s="15">
        <f t="shared" si="0"/>
        <v>177</v>
      </c>
      <c r="H15" s="39">
        <f t="shared" si="1"/>
        <v>59</v>
      </c>
      <c r="I15" s="21" t="str">
        <f t="shared" si="2"/>
        <v>D</v>
      </c>
      <c r="J15" s="21"/>
      <c r="K15" s="21" t="str">
        <f t="shared" si="3"/>
        <v>Student</v>
      </c>
      <c r="L15" s="22" t="str">
        <f>IF(AND(C15&gt;80,D15&gt;80),"Yes","No")</f>
        <v>No</v>
      </c>
      <c r="N15" s="43">
        <f>ROUND(H15,1)</f>
        <v>59</v>
      </c>
      <c r="O15" s="15" t="str">
        <f t="shared" si="4"/>
        <v>STUDENT 14</v>
      </c>
      <c r="P15" s="22" t="str">
        <f t="shared" si="5"/>
        <v>student 14</v>
      </c>
    </row>
    <row r="16" spans="1:16" ht="15" thickBot="1" x14ac:dyDescent="0.4">
      <c r="A16" s="3">
        <v>1015</v>
      </c>
      <c r="B16" s="4" t="s">
        <v>105</v>
      </c>
      <c r="C16" s="4">
        <v>70</v>
      </c>
      <c r="D16" s="4">
        <v>51</v>
      </c>
      <c r="E16" s="4">
        <v>75</v>
      </c>
      <c r="F16" s="5">
        <v>45621</v>
      </c>
      <c r="G16" s="15">
        <f t="shared" si="0"/>
        <v>196</v>
      </c>
      <c r="H16" s="39">
        <f t="shared" si="1"/>
        <v>65.333333333333329</v>
      </c>
      <c r="I16" s="21" t="str">
        <f t="shared" si="2"/>
        <v>C</v>
      </c>
      <c r="J16" s="21"/>
      <c r="K16" s="21" t="str">
        <f t="shared" si="3"/>
        <v>Rahi</v>
      </c>
      <c r="L16" s="22" t="str">
        <f>IF(AND(C16&gt;80,D16&gt;80),"Yes","No")</f>
        <v>No</v>
      </c>
      <c r="N16" s="43">
        <f>ROUND(H16,1)</f>
        <v>65.3</v>
      </c>
      <c r="O16" s="15" t="str">
        <f t="shared" si="4"/>
        <v>RAHI RAO</v>
      </c>
      <c r="P16" s="22" t="str">
        <f t="shared" si="5"/>
        <v>rahi rao</v>
      </c>
    </row>
    <row r="17" spans="1:16" ht="15" thickBot="1" x14ac:dyDescent="0.4">
      <c r="A17" s="3">
        <v>1016</v>
      </c>
      <c r="B17" s="4" t="s">
        <v>20</v>
      </c>
      <c r="C17" s="4">
        <v>98</v>
      </c>
      <c r="D17" s="4">
        <v>77</v>
      </c>
      <c r="E17" s="4">
        <v>60</v>
      </c>
      <c r="F17" s="5">
        <v>45801</v>
      </c>
      <c r="G17" s="15">
        <f t="shared" si="0"/>
        <v>235</v>
      </c>
      <c r="H17" s="39">
        <f t="shared" si="1"/>
        <v>78.333333333333329</v>
      </c>
      <c r="I17" s="21" t="str">
        <f t="shared" si="2"/>
        <v>B</v>
      </c>
      <c r="J17" s="21"/>
      <c r="K17" s="21" t="str">
        <f t="shared" si="3"/>
        <v>Student</v>
      </c>
      <c r="L17" s="22" t="str">
        <f>IF(AND(C17&gt;80,D17&gt;80),"Yes","No")</f>
        <v>No</v>
      </c>
      <c r="N17" s="43">
        <f>ROUND(H17,1)</f>
        <v>78.3</v>
      </c>
      <c r="O17" s="15" t="str">
        <f t="shared" si="4"/>
        <v>STUDENT 16</v>
      </c>
      <c r="P17" s="22" t="str">
        <f t="shared" si="5"/>
        <v>student 16</v>
      </c>
    </row>
    <row r="18" spans="1:16" ht="15" thickBot="1" x14ac:dyDescent="0.4">
      <c r="A18" s="3">
        <v>1017</v>
      </c>
      <c r="B18" s="4" t="s">
        <v>21</v>
      </c>
      <c r="C18" s="4">
        <v>66</v>
      </c>
      <c r="D18" s="4">
        <v>59</v>
      </c>
      <c r="E18" s="4">
        <v>40</v>
      </c>
      <c r="F18" s="5">
        <v>45981</v>
      </c>
      <c r="G18" s="15">
        <f t="shared" si="0"/>
        <v>165</v>
      </c>
      <c r="H18" s="39">
        <f t="shared" si="1"/>
        <v>55</v>
      </c>
      <c r="I18" s="21" t="str">
        <f t="shared" si="2"/>
        <v>D</v>
      </c>
      <c r="J18" s="21"/>
      <c r="K18" s="21" t="str">
        <f t="shared" si="3"/>
        <v>Student</v>
      </c>
      <c r="L18" s="22" t="str">
        <f>IF(AND(C18&gt;80,D18&gt;80),"Yes","No")</f>
        <v>No</v>
      </c>
      <c r="N18" s="43">
        <f>ROUND(H18,1)</f>
        <v>55</v>
      </c>
      <c r="O18" s="15" t="str">
        <f t="shared" si="4"/>
        <v>STUDENT 17</v>
      </c>
      <c r="P18" s="22" t="str">
        <f t="shared" si="5"/>
        <v>student 17</v>
      </c>
    </row>
    <row r="19" spans="1:16" ht="15" thickBot="1" x14ac:dyDescent="0.4">
      <c r="A19" s="3">
        <v>1018</v>
      </c>
      <c r="B19" s="4" t="s">
        <v>22</v>
      </c>
      <c r="C19" s="4">
        <v>82</v>
      </c>
      <c r="D19" s="4">
        <v>48</v>
      </c>
      <c r="E19" s="4">
        <v>79</v>
      </c>
      <c r="F19" s="5">
        <v>46161</v>
      </c>
      <c r="G19" s="15">
        <f t="shared" si="0"/>
        <v>209</v>
      </c>
      <c r="H19" s="39">
        <f t="shared" si="1"/>
        <v>69.666666666666671</v>
      </c>
      <c r="I19" s="21" t="str">
        <f t="shared" si="2"/>
        <v>C</v>
      </c>
      <c r="J19" s="21"/>
      <c r="K19" s="21" t="str">
        <f t="shared" si="3"/>
        <v>Student</v>
      </c>
      <c r="L19" s="22" t="str">
        <f>IF(AND(C19&gt;80,D19&gt;80),"Yes","No")</f>
        <v>No</v>
      </c>
      <c r="N19" s="43">
        <f>ROUND(H19,1)</f>
        <v>69.7</v>
      </c>
      <c r="O19" s="15" t="str">
        <f t="shared" si="4"/>
        <v>STUDENT 18</v>
      </c>
      <c r="P19" s="22" t="str">
        <f t="shared" si="5"/>
        <v>student 18</v>
      </c>
    </row>
    <row r="20" spans="1:16" ht="15" thickBot="1" x14ac:dyDescent="0.4">
      <c r="A20" s="3">
        <v>1019</v>
      </c>
      <c r="B20" s="4" t="s">
        <v>23</v>
      </c>
      <c r="C20" s="4">
        <v>90</v>
      </c>
      <c r="D20" s="4">
        <v>78</v>
      </c>
      <c r="E20" s="4">
        <v>60</v>
      </c>
      <c r="F20" s="5">
        <v>46341</v>
      </c>
      <c r="G20" s="15">
        <f t="shared" si="0"/>
        <v>228</v>
      </c>
      <c r="H20" s="39">
        <f t="shared" si="1"/>
        <v>76</v>
      </c>
      <c r="I20" s="21" t="str">
        <f t="shared" si="2"/>
        <v>B</v>
      </c>
      <c r="J20" s="21"/>
      <c r="K20" s="21" t="str">
        <f t="shared" si="3"/>
        <v>Student</v>
      </c>
      <c r="L20" s="22" t="str">
        <f>IF(AND(C20&gt;80,D20&gt;80),"Yes","No")</f>
        <v>No</v>
      </c>
      <c r="N20" s="43">
        <f>ROUND(H20,1)</f>
        <v>76</v>
      </c>
      <c r="O20" s="15" t="str">
        <f t="shared" si="4"/>
        <v>STUDENT 19</v>
      </c>
      <c r="P20" s="22" t="str">
        <f t="shared" si="5"/>
        <v>student 19</v>
      </c>
    </row>
    <row r="21" spans="1:16" ht="15" thickBot="1" x14ac:dyDescent="0.4">
      <c r="A21" s="3">
        <v>1020</v>
      </c>
      <c r="B21" s="4" t="s">
        <v>24</v>
      </c>
      <c r="C21" s="4">
        <v>83</v>
      </c>
      <c r="D21" s="4">
        <v>92</v>
      </c>
      <c r="E21" s="4">
        <v>55</v>
      </c>
      <c r="F21" s="5">
        <v>46521</v>
      </c>
      <c r="G21" s="10">
        <f t="shared" si="0"/>
        <v>230</v>
      </c>
      <c r="H21" s="40">
        <f t="shared" si="1"/>
        <v>76.666666666666671</v>
      </c>
      <c r="I21" s="24" t="str">
        <f t="shared" si="2"/>
        <v>B</v>
      </c>
      <c r="J21" s="24"/>
      <c r="K21" s="24" t="str">
        <f t="shared" si="3"/>
        <v>Student</v>
      </c>
      <c r="L21" s="11" t="str">
        <f>IF(AND(C21&gt;80,D21&gt;80),"Yes","No")</f>
        <v>Yes</v>
      </c>
      <c r="N21" s="38">
        <f>ROUND(H21,1)</f>
        <v>76.7</v>
      </c>
      <c r="O21" s="10" t="str">
        <f t="shared" si="4"/>
        <v>STUDENT 20</v>
      </c>
      <c r="P21" s="11" t="str">
        <f t="shared" si="5"/>
        <v>student 20</v>
      </c>
    </row>
    <row r="26" spans="1:16" x14ac:dyDescent="0.35">
      <c r="A26" s="33" t="s">
        <v>63</v>
      </c>
      <c r="C26" s="33" t="s">
        <v>97</v>
      </c>
      <c r="F26" s="33" t="s">
        <v>100</v>
      </c>
    </row>
    <row r="27" spans="1:16" x14ac:dyDescent="0.35">
      <c r="A27" s="7">
        <f>COUNTIFS(C2:C21,"&gt;60")</f>
        <v>19</v>
      </c>
      <c r="C27" s="7" t="s">
        <v>19</v>
      </c>
      <c r="F27" s="7">
        <f>COUNTIFS(C2:C21,"&gt;50")</f>
        <v>19</v>
      </c>
    </row>
    <row r="29" spans="1:16" x14ac:dyDescent="0.35">
      <c r="F29" s="33" t="s">
        <v>102</v>
      </c>
    </row>
    <row r="30" spans="1:16" x14ac:dyDescent="0.35">
      <c r="F30" s="38">
        <f>AVERAGEIFS(C2:C21,C2:C21,"&gt;60")</f>
        <v>82.263157894736835</v>
      </c>
    </row>
    <row r="32" spans="1:16" x14ac:dyDescent="0.35">
      <c r="F32" s="25" t="s">
        <v>103</v>
      </c>
      <c r="G32" s="26" t="s">
        <v>104</v>
      </c>
    </row>
    <row r="33" spans="6:7" x14ac:dyDescent="0.35">
      <c r="F33" s="10">
        <v>1004</v>
      </c>
      <c r="G33" s="11" t="str">
        <f>VLOOKUP(F33,A2:E21,2,0)</f>
        <v>Student 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0DCA-2C24-4133-8B8B-3337AFB7D803}">
  <dimension ref="A1:J43"/>
  <sheetViews>
    <sheetView zoomScale="90" zoomScaleNormal="90" workbookViewId="0">
      <selection activeCell="J16" sqref="J16"/>
    </sheetView>
  </sheetViews>
  <sheetFormatPr defaultRowHeight="14.5" x14ac:dyDescent="0.35"/>
  <cols>
    <col min="1" max="1" width="11" style="6" customWidth="1"/>
    <col min="2" max="2" width="10.81640625" style="6" customWidth="1"/>
    <col min="3" max="3" width="8.7265625" style="6"/>
    <col min="4" max="4" width="10.81640625" style="6" customWidth="1"/>
    <col min="5" max="5" width="11.90625" style="6" customWidth="1"/>
    <col min="6" max="6" width="12.1796875" style="6" customWidth="1"/>
    <col min="7" max="7" width="8.7265625" style="6"/>
    <col min="8" max="8" width="11.26953125" style="6" customWidth="1"/>
    <col min="9" max="10" width="8.7265625" style="6"/>
    <col min="11" max="11" width="11" style="6" bestFit="1" customWidth="1"/>
    <col min="12" max="16384" width="8.7265625" style="6"/>
  </cols>
  <sheetData>
    <row r="1" spans="1:10" ht="31.5" customHeight="1" thickBot="1" x14ac:dyDescent="0.4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H1" s="33" t="s">
        <v>98</v>
      </c>
    </row>
    <row r="2" spans="1:10" ht="15" thickBot="1" x14ac:dyDescent="0.4">
      <c r="A2" s="3">
        <v>2001</v>
      </c>
      <c r="B2" s="4" t="s">
        <v>31</v>
      </c>
      <c r="C2" s="4" t="s">
        <v>32</v>
      </c>
      <c r="D2" s="4" t="s">
        <v>33</v>
      </c>
      <c r="E2" s="14">
        <v>7048</v>
      </c>
      <c r="F2" s="5">
        <v>44927</v>
      </c>
      <c r="G2" s="37">
        <v>0.1</v>
      </c>
      <c r="H2" s="34" t="str">
        <f>IF(E2&gt;30000,"20%",IF(E2&gt;15000,"10%","No Discount"))</f>
        <v>No Discount</v>
      </c>
    </row>
    <row r="3" spans="1:10" ht="15" thickBot="1" x14ac:dyDescent="0.4">
      <c r="A3" s="3">
        <v>2002</v>
      </c>
      <c r="B3" s="4" t="s">
        <v>34</v>
      </c>
      <c r="C3" s="4" t="s">
        <v>35</v>
      </c>
      <c r="D3" s="4" t="s">
        <v>36</v>
      </c>
      <c r="E3" s="14">
        <v>17428</v>
      </c>
      <c r="F3" s="5">
        <v>44942</v>
      </c>
      <c r="H3" s="34" t="str">
        <f t="shared" ref="H3:H21" si="0">IF(E3&gt;30000,"20%",IF(E3&gt;15000,"10%","No Discount"))</f>
        <v>10%</v>
      </c>
    </row>
    <row r="4" spans="1:10" ht="15" thickBot="1" x14ac:dyDescent="0.4">
      <c r="A4" s="3">
        <v>2003</v>
      </c>
      <c r="B4" s="4" t="s">
        <v>37</v>
      </c>
      <c r="C4" s="4" t="s">
        <v>32</v>
      </c>
      <c r="D4" s="4" t="s">
        <v>38</v>
      </c>
      <c r="E4" s="14">
        <v>23672</v>
      </c>
      <c r="F4" s="5">
        <v>44957</v>
      </c>
      <c r="H4" s="34" t="str">
        <f t="shared" si="0"/>
        <v>10%</v>
      </c>
    </row>
    <row r="5" spans="1:10" ht="15" thickBot="1" x14ac:dyDescent="0.4">
      <c r="A5" s="3">
        <v>2004</v>
      </c>
      <c r="B5" s="4" t="s">
        <v>34</v>
      </c>
      <c r="C5" s="4" t="s">
        <v>39</v>
      </c>
      <c r="D5" s="4" t="s">
        <v>40</v>
      </c>
      <c r="E5" s="14">
        <v>5264</v>
      </c>
      <c r="F5" s="5">
        <v>44972</v>
      </c>
      <c r="H5" s="34" t="str">
        <f t="shared" si="0"/>
        <v>No Discount</v>
      </c>
    </row>
    <row r="6" spans="1:10" ht="15" thickBot="1" x14ac:dyDescent="0.4">
      <c r="A6" s="3">
        <v>2005</v>
      </c>
      <c r="B6" s="4" t="s">
        <v>31</v>
      </c>
      <c r="C6" s="4" t="s">
        <v>41</v>
      </c>
      <c r="D6" s="4" t="s">
        <v>42</v>
      </c>
      <c r="E6" s="14">
        <v>43388</v>
      </c>
      <c r="F6" s="5">
        <v>44987</v>
      </c>
      <c r="H6" s="34" t="str">
        <f t="shared" si="0"/>
        <v>20%</v>
      </c>
    </row>
    <row r="7" spans="1:10" ht="15" thickBot="1" x14ac:dyDescent="0.4">
      <c r="A7" s="3">
        <v>2006</v>
      </c>
      <c r="B7" s="4" t="s">
        <v>37</v>
      </c>
      <c r="C7" s="4" t="s">
        <v>41</v>
      </c>
      <c r="D7" s="4" t="s">
        <v>43</v>
      </c>
      <c r="E7" s="14">
        <v>19757</v>
      </c>
      <c r="F7" s="5">
        <v>45002</v>
      </c>
      <c r="H7" s="34" t="str">
        <f t="shared" si="0"/>
        <v>10%</v>
      </c>
    </row>
    <row r="8" spans="1:10" ht="15" thickBot="1" x14ac:dyDescent="0.4">
      <c r="A8" s="3">
        <v>2007</v>
      </c>
      <c r="B8" s="4" t="s">
        <v>37</v>
      </c>
      <c r="C8" s="4" t="s">
        <v>39</v>
      </c>
      <c r="D8" s="4" t="s">
        <v>44</v>
      </c>
      <c r="E8" s="14">
        <v>32058</v>
      </c>
      <c r="F8" s="5">
        <v>45017</v>
      </c>
      <c r="H8" s="34" t="str">
        <f t="shared" si="0"/>
        <v>20%</v>
      </c>
    </row>
    <row r="9" spans="1:10" ht="15" thickBot="1" x14ac:dyDescent="0.4">
      <c r="A9" s="3">
        <v>2008</v>
      </c>
      <c r="B9" s="4" t="s">
        <v>31</v>
      </c>
      <c r="C9" s="4" t="s">
        <v>39</v>
      </c>
      <c r="D9" s="4" t="s">
        <v>45</v>
      </c>
      <c r="E9" s="14">
        <v>46429</v>
      </c>
      <c r="F9" s="5">
        <v>45032</v>
      </c>
      <c r="H9" s="34" t="str">
        <f t="shared" si="0"/>
        <v>20%</v>
      </c>
    </row>
    <row r="10" spans="1:10" ht="15" thickBot="1" x14ac:dyDescent="0.4">
      <c r="A10" s="3">
        <v>2009</v>
      </c>
      <c r="B10" s="4" t="s">
        <v>34</v>
      </c>
      <c r="C10" s="4" t="s">
        <v>39</v>
      </c>
      <c r="D10" s="4" t="s">
        <v>46</v>
      </c>
      <c r="E10" s="14">
        <v>19746</v>
      </c>
      <c r="F10" s="5">
        <v>45047</v>
      </c>
      <c r="H10" s="34" t="str">
        <f t="shared" si="0"/>
        <v>10%</v>
      </c>
    </row>
    <row r="11" spans="1:10" ht="15" thickBot="1" x14ac:dyDescent="0.4">
      <c r="A11" s="3">
        <v>2010</v>
      </c>
      <c r="B11" s="4" t="s">
        <v>31</v>
      </c>
      <c r="C11" s="4" t="s">
        <v>32</v>
      </c>
      <c r="D11" s="4" t="s">
        <v>47</v>
      </c>
      <c r="E11" s="14">
        <v>35185</v>
      </c>
      <c r="F11" s="5">
        <v>45062</v>
      </c>
      <c r="H11" s="34" t="str">
        <f t="shared" si="0"/>
        <v>20%</v>
      </c>
    </row>
    <row r="12" spans="1:10" ht="15" thickBot="1" x14ac:dyDescent="0.4">
      <c r="A12" s="3">
        <v>2011</v>
      </c>
      <c r="B12" s="4" t="s">
        <v>31</v>
      </c>
      <c r="C12" s="4" t="s">
        <v>39</v>
      </c>
      <c r="D12" s="4" t="s">
        <v>48</v>
      </c>
      <c r="E12" s="14">
        <v>33920</v>
      </c>
      <c r="F12" s="5">
        <v>45077</v>
      </c>
      <c r="H12" s="34" t="str">
        <f t="shared" si="0"/>
        <v>20%</v>
      </c>
    </row>
    <row r="13" spans="1:10" ht="15" thickBot="1" x14ac:dyDescent="0.4">
      <c r="A13" s="3">
        <v>2012</v>
      </c>
      <c r="B13" s="4" t="s">
        <v>49</v>
      </c>
      <c r="C13" s="4" t="s">
        <v>41</v>
      </c>
      <c r="D13" s="4" t="s">
        <v>50</v>
      </c>
      <c r="E13" s="14">
        <v>35611</v>
      </c>
      <c r="F13" s="5">
        <v>45092</v>
      </c>
      <c r="H13" s="34" t="str">
        <f t="shared" si="0"/>
        <v>20%</v>
      </c>
    </row>
    <row r="14" spans="1:10" ht="15" thickBot="1" x14ac:dyDescent="0.4">
      <c r="A14" s="3">
        <v>2013</v>
      </c>
      <c r="B14" s="4" t="s">
        <v>51</v>
      </c>
      <c r="C14" s="4" t="s">
        <v>39</v>
      </c>
      <c r="D14" s="4" t="s">
        <v>52</v>
      </c>
      <c r="E14" s="14">
        <v>15560</v>
      </c>
      <c r="F14" s="5">
        <v>45107</v>
      </c>
      <c r="H14" s="34" t="str">
        <f t="shared" si="0"/>
        <v>10%</v>
      </c>
    </row>
    <row r="15" spans="1:10" ht="15" thickBot="1" x14ac:dyDescent="0.4">
      <c r="A15" s="3">
        <v>2014</v>
      </c>
      <c r="B15" s="4" t="s">
        <v>51</v>
      </c>
      <c r="C15" s="4" t="s">
        <v>32</v>
      </c>
      <c r="D15" s="4" t="s">
        <v>53</v>
      </c>
      <c r="E15" s="14">
        <v>7283</v>
      </c>
      <c r="F15" s="5">
        <v>45122</v>
      </c>
      <c r="H15" s="34" t="str">
        <f t="shared" si="0"/>
        <v>No Discount</v>
      </c>
    </row>
    <row r="16" spans="1:10" ht="15" thickBot="1" x14ac:dyDescent="0.4">
      <c r="A16" s="3">
        <v>2015</v>
      </c>
      <c r="B16" s="4" t="s">
        <v>51</v>
      </c>
      <c r="C16" s="4" t="s">
        <v>39</v>
      </c>
      <c r="D16" s="4" t="s">
        <v>54</v>
      </c>
      <c r="E16" s="14">
        <v>15678</v>
      </c>
      <c r="F16" s="5">
        <v>45137</v>
      </c>
      <c r="H16" s="34" t="str">
        <f t="shared" si="0"/>
        <v>10%</v>
      </c>
      <c r="J16" s="30" t="s">
        <v>114</v>
      </c>
    </row>
    <row r="17" spans="1:10" ht="15" thickBot="1" x14ac:dyDescent="0.4">
      <c r="A17" s="3">
        <v>2016</v>
      </c>
      <c r="B17" s="4" t="s">
        <v>37</v>
      </c>
      <c r="C17" s="4" t="s">
        <v>39</v>
      </c>
      <c r="D17" s="4" t="s">
        <v>55</v>
      </c>
      <c r="E17" s="14">
        <v>5277</v>
      </c>
      <c r="F17" s="5">
        <v>45152</v>
      </c>
      <c r="H17" s="34" t="str">
        <f t="shared" si="0"/>
        <v>No Discount</v>
      </c>
      <c r="J17" s="6">
        <f ca="1">OFFSET(E2,COUNTA(E2:E21)-5,0,5,1)</f>
        <v>5277</v>
      </c>
    </row>
    <row r="18" spans="1:10" ht="15" thickBot="1" x14ac:dyDescent="0.4">
      <c r="A18" s="3">
        <v>2017</v>
      </c>
      <c r="B18" s="4" t="s">
        <v>49</v>
      </c>
      <c r="C18" s="4" t="s">
        <v>41</v>
      </c>
      <c r="D18" s="4" t="s">
        <v>56</v>
      </c>
      <c r="E18" s="14">
        <v>41871</v>
      </c>
      <c r="F18" s="5">
        <v>45167</v>
      </c>
      <c r="H18" s="34" t="str">
        <f t="shared" si="0"/>
        <v>20%</v>
      </c>
      <c r="J18" s="6">
        <f ca="1">OFFSET(E3,COUNTA(E3:E22)-5,0,5,1)</f>
        <v>41871</v>
      </c>
    </row>
    <row r="19" spans="1:10" ht="15" thickBot="1" x14ac:dyDescent="0.4">
      <c r="A19" s="3">
        <v>2018</v>
      </c>
      <c r="B19" s="4" t="s">
        <v>49</v>
      </c>
      <c r="C19" s="4" t="s">
        <v>35</v>
      </c>
      <c r="D19" s="4" t="s">
        <v>57</v>
      </c>
      <c r="E19" s="14">
        <v>38161</v>
      </c>
      <c r="F19" s="5">
        <v>45182</v>
      </c>
      <c r="H19" s="34" t="str">
        <f t="shared" si="0"/>
        <v>20%</v>
      </c>
      <c r="J19" s="6">
        <f ca="1">OFFSET(E4,COUNTA(E4:E23)-5,0,5,1)</f>
        <v>38161</v>
      </c>
    </row>
    <row r="20" spans="1:10" ht="15" thickBot="1" x14ac:dyDescent="0.4">
      <c r="A20" s="3">
        <v>2019</v>
      </c>
      <c r="B20" s="4" t="s">
        <v>37</v>
      </c>
      <c r="C20" s="4" t="s">
        <v>35</v>
      </c>
      <c r="D20" s="4" t="s">
        <v>58</v>
      </c>
      <c r="E20" s="14">
        <v>30436</v>
      </c>
      <c r="F20" s="5">
        <v>45197</v>
      </c>
      <c r="H20" s="34" t="str">
        <f t="shared" si="0"/>
        <v>20%</v>
      </c>
      <c r="J20" s="6">
        <f ca="1">OFFSET(E5,COUNTA(E5:E24)-5,0,5,1)</f>
        <v>30436</v>
      </c>
    </row>
    <row r="21" spans="1:10" ht="15" thickBot="1" x14ac:dyDescent="0.4">
      <c r="A21" s="3">
        <v>2020</v>
      </c>
      <c r="B21" s="4" t="s">
        <v>34</v>
      </c>
      <c r="C21" s="4" t="s">
        <v>35</v>
      </c>
      <c r="D21" s="4" t="s">
        <v>59</v>
      </c>
      <c r="E21" s="14">
        <v>33953</v>
      </c>
      <c r="F21" s="5">
        <v>45212</v>
      </c>
      <c r="H21" s="7" t="str">
        <f t="shared" si="0"/>
        <v>20%</v>
      </c>
      <c r="J21" s="6">
        <f ca="1">OFFSET(E6,COUNTA(E6:E25)-5,0,5,1)</f>
        <v>33953</v>
      </c>
    </row>
    <row r="24" spans="1:10" x14ac:dyDescent="0.35">
      <c r="A24" s="31" t="s">
        <v>65</v>
      </c>
      <c r="B24" s="32"/>
    </row>
    <row r="25" spans="1:10" x14ac:dyDescent="0.35">
      <c r="A25" s="12" t="s">
        <v>25</v>
      </c>
      <c r="B25" s="13" t="s">
        <v>64</v>
      </c>
    </row>
    <row r="26" spans="1:10" x14ac:dyDescent="0.35">
      <c r="A26" s="10">
        <v>2004</v>
      </c>
      <c r="B26" s="11">
        <f>VLOOKUP(A26,A2:F21,5,0)</f>
        <v>5264</v>
      </c>
    </row>
    <row r="28" spans="1:10" x14ac:dyDescent="0.35">
      <c r="A28"/>
      <c r="B28"/>
    </row>
    <row r="30" spans="1:10" x14ac:dyDescent="0.35">
      <c r="A30" s="35">
        <f>E2*G2</f>
        <v>704.80000000000007</v>
      </c>
      <c r="C30" s="25" t="s">
        <v>26</v>
      </c>
      <c r="D30" s="26" t="s">
        <v>110</v>
      </c>
    </row>
    <row r="31" spans="1:10" x14ac:dyDescent="0.35">
      <c r="C31" s="10" t="s">
        <v>37</v>
      </c>
      <c r="D31" s="11">
        <f>_xlfn.XMATCH(C31,B2:B21)</f>
        <v>3</v>
      </c>
    </row>
    <row r="34" spans="1:2" x14ac:dyDescent="0.35">
      <c r="A34" s="33" t="s">
        <v>101</v>
      </c>
    </row>
    <row r="35" spans="1:2" x14ac:dyDescent="0.35">
      <c r="A35" s="36">
        <f>SUMIFS(E2:E21,B2:B21,"Printer",C2:C21,"East")</f>
        <v>25010</v>
      </c>
    </row>
    <row r="37" spans="1:2" x14ac:dyDescent="0.35">
      <c r="A37" s="25" t="s">
        <v>25</v>
      </c>
      <c r="B37" s="26" t="s">
        <v>64</v>
      </c>
    </row>
    <row r="38" spans="1:2" x14ac:dyDescent="0.35">
      <c r="A38" s="10">
        <v>2014</v>
      </c>
      <c r="B38" s="11">
        <f>VLOOKUP(A38,A2:E21,5,0)</f>
        <v>7283</v>
      </c>
    </row>
    <row r="42" spans="1:2" x14ac:dyDescent="0.35">
      <c r="A42" s="25" t="s">
        <v>28</v>
      </c>
      <c r="B42" s="26" t="s">
        <v>109</v>
      </c>
    </row>
    <row r="43" spans="1:2" x14ac:dyDescent="0.35">
      <c r="A43" s="10" t="s">
        <v>52</v>
      </c>
      <c r="B43" s="11">
        <f>_xlfn.XLOOKUP(A43,D2:D21,E2:E21,"No Data Found",0,1)</f>
        <v>15560</v>
      </c>
    </row>
  </sheetData>
  <mergeCells count="1">
    <mergeCell ref="A24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4485-064E-4E8C-B9F1-43EF625798A7}">
  <dimension ref="A1:P35"/>
  <sheetViews>
    <sheetView topLeftCell="A22" zoomScale="90" zoomScaleNormal="90" workbookViewId="0">
      <selection activeCell="D34" sqref="D34:E34"/>
    </sheetView>
  </sheetViews>
  <sheetFormatPr defaultRowHeight="14.5" x14ac:dyDescent="0.35"/>
  <cols>
    <col min="1" max="1" width="12.54296875" style="6" customWidth="1"/>
    <col min="2" max="2" width="14" style="6" customWidth="1"/>
    <col min="3" max="3" width="12" style="6" customWidth="1"/>
    <col min="4" max="4" width="11.26953125" style="6" customWidth="1"/>
    <col min="5" max="5" width="12.7265625" style="6" customWidth="1"/>
    <col min="6" max="6" width="12.08984375" style="6" bestFit="1" customWidth="1"/>
    <col min="7" max="7" width="14.26953125" style="6" customWidth="1"/>
    <col min="8" max="9" width="10.7265625" style="6" bestFit="1" customWidth="1"/>
    <col min="10" max="10" width="11.7265625" style="6" bestFit="1" customWidth="1"/>
    <col min="11" max="12" width="8.7265625" style="6"/>
    <col min="13" max="13" width="11" style="6" bestFit="1" customWidth="1"/>
    <col min="14" max="14" width="12.1796875" style="6" bestFit="1" customWidth="1"/>
    <col min="15" max="16384" width="8.7265625" style="6"/>
  </cols>
  <sheetData>
    <row r="1" spans="1:16" ht="29" customHeight="1" thickBot="1" x14ac:dyDescent="0.4">
      <c r="A1" s="1" t="s">
        <v>67</v>
      </c>
      <c r="B1" s="2" t="s">
        <v>1</v>
      </c>
      <c r="C1" s="2" t="s">
        <v>68</v>
      </c>
      <c r="D1" s="2" t="s">
        <v>69</v>
      </c>
      <c r="E1" s="2" t="s">
        <v>70</v>
      </c>
      <c r="F1" s="25" t="s">
        <v>95</v>
      </c>
      <c r="G1" s="26" t="s">
        <v>96</v>
      </c>
      <c r="M1" s="27" t="s">
        <v>115</v>
      </c>
      <c r="N1" s="28" t="s">
        <v>116</v>
      </c>
      <c r="O1" s="28" t="s">
        <v>117</v>
      </c>
      <c r="P1" s="29" t="s">
        <v>118</v>
      </c>
    </row>
    <row r="2" spans="1:16" ht="15" thickBot="1" x14ac:dyDescent="0.4">
      <c r="A2" s="3">
        <v>3001</v>
      </c>
      <c r="B2" s="4" t="s">
        <v>71</v>
      </c>
      <c r="C2" s="4" t="s">
        <v>72</v>
      </c>
      <c r="D2" s="4">
        <v>86766</v>
      </c>
      <c r="E2" s="5">
        <v>42005</v>
      </c>
      <c r="F2" s="15">
        <f>YEAR(E2)</f>
        <v>2015</v>
      </c>
      <c r="G2" s="16">
        <f ca="1">DATEDIF(E2,TODAY(),"Y")</f>
        <v>10</v>
      </c>
      <c r="M2" s="8">
        <f ca="1">DATEDIF(E2,TODAY(),"Y")</f>
        <v>10</v>
      </c>
      <c r="N2" s="18">
        <f ca="1">TODAY()-E2</f>
        <v>3968</v>
      </c>
      <c r="O2" s="19">
        <f>CEILING(D2,1000)</f>
        <v>87000</v>
      </c>
      <c r="P2" s="9">
        <f>FLOOR(D2,1000)</f>
        <v>86000</v>
      </c>
    </row>
    <row r="3" spans="1:16" ht="15" thickBot="1" x14ac:dyDescent="0.4">
      <c r="A3" s="3">
        <v>3002</v>
      </c>
      <c r="B3" s="4" t="s">
        <v>73</v>
      </c>
      <c r="C3" s="4" t="s">
        <v>72</v>
      </c>
      <c r="D3" s="4">
        <v>31943</v>
      </c>
      <c r="E3" s="5">
        <v>42255</v>
      </c>
      <c r="F3" s="15">
        <f t="shared" ref="F3:F21" si="0">YEAR(E3)</f>
        <v>2015</v>
      </c>
      <c r="G3" s="16">
        <f t="shared" ref="G3:G21" ca="1" si="1">DATEDIF(E3,TODAY(),"Y")</f>
        <v>10</v>
      </c>
      <c r="M3" s="15">
        <f t="shared" ref="M3:M21" ca="1" si="2">DATEDIF(E3,TODAY(),"Y")</f>
        <v>10</v>
      </c>
      <c r="N3" s="20">
        <f t="shared" ref="N3:N21" ca="1" si="3">TODAY()-E3</f>
        <v>3718</v>
      </c>
      <c r="O3" s="21">
        <f t="shared" ref="O3:O21" si="4">CEILING(D3,1000)</f>
        <v>32000</v>
      </c>
      <c r="P3" s="22">
        <f t="shared" ref="P3:P21" si="5">FLOOR(D3,1000)</f>
        <v>31000</v>
      </c>
    </row>
    <row r="4" spans="1:16" ht="15" thickBot="1" x14ac:dyDescent="0.4">
      <c r="A4" s="3">
        <v>3003</v>
      </c>
      <c r="B4" s="4" t="s">
        <v>74</v>
      </c>
      <c r="C4" s="4" t="s">
        <v>75</v>
      </c>
      <c r="D4" s="4">
        <v>63374</v>
      </c>
      <c r="E4" s="5">
        <v>42505</v>
      </c>
      <c r="F4" s="15">
        <f t="shared" si="0"/>
        <v>2016</v>
      </c>
      <c r="G4" s="16">
        <f t="shared" ca="1" si="1"/>
        <v>9</v>
      </c>
      <c r="M4" s="15">
        <f t="shared" ca="1" si="2"/>
        <v>9</v>
      </c>
      <c r="N4" s="20">
        <f t="shared" ca="1" si="3"/>
        <v>3468</v>
      </c>
      <c r="O4" s="21">
        <f t="shared" si="4"/>
        <v>64000</v>
      </c>
      <c r="P4" s="22">
        <f t="shared" si="5"/>
        <v>63000</v>
      </c>
    </row>
    <row r="5" spans="1:16" ht="15" thickBot="1" x14ac:dyDescent="0.4">
      <c r="A5" s="3">
        <v>3004</v>
      </c>
      <c r="B5" s="4" t="s">
        <v>76</v>
      </c>
      <c r="C5" s="4" t="s">
        <v>72</v>
      </c>
      <c r="D5" s="4">
        <v>109972</v>
      </c>
      <c r="E5" s="5">
        <v>42755</v>
      </c>
      <c r="F5" s="15">
        <f t="shared" si="0"/>
        <v>2017</v>
      </c>
      <c r="G5" s="16">
        <f t="shared" ca="1" si="1"/>
        <v>8</v>
      </c>
      <c r="M5" s="15">
        <f t="shared" ca="1" si="2"/>
        <v>8</v>
      </c>
      <c r="N5" s="20">
        <f t="shared" ca="1" si="3"/>
        <v>3218</v>
      </c>
      <c r="O5" s="21">
        <f t="shared" si="4"/>
        <v>110000</v>
      </c>
      <c r="P5" s="22">
        <f t="shared" si="5"/>
        <v>109000</v>
      </c>
    </row>
    <row r="6" spans="1:16" ht="15" thickBot="1" x14ac:dyDescent="0.4">
      <c r="A6" s="3">
        <v>3005</v>
      </c>
      <c r="B6" s="4" t="s">
        <v>77</v>
      </c>
      <c r="C6" s="4" t="s">
        <v>78</v>
      </c>
      <c r="D6" s="4">
        <v>54149</v>
      </c>
      <c r="E6" s="5">
        <v>43005</v>
      </c>
      <c r="F6" s="15">
        <f t="shared" si="0"/>
        <v>2017</v>
      </c>
      <c r="G6" s="16">
        <f t="shared" ca="1" si="1"/>
        <v>8</v>
      </c>
      <c r="M6" s="15">
        <f t="shared" ca="1" si="2"/>
        <v>8</v>
      </c>
      <c r="N6" s="20">
        <f t="shared" ca="1" si="3"/>
        <v>2968</v>
      </c>
      <c r="O6" s="21">
        <f t="shared" si="4"/>
        <v>55000</v>
      </c>
      <c r="P6" s="22">
        <f t="shared" si="5"/>
        <v>54000</v>
      </c>
    </row>
    <row r="7" spans="1:16" ht="15" thickBot="1" x14ac:dyDescent="0.4">
      <c r="A7" s="3">
        <v>3006</v>
      </c>
      <c r="B7" s="4" t="s">
        <v>79</v>
      </c>
      <c r="C7" s="4" t="s">
        <v>78</v>
      </c>
      <c r="D7" s="4">
        <v>78689</v>
      </c>
      <c r="E7" s="5">
        <v>43255</v>
      </c>
      <c r="F7" s="15">
        <f t="shared" si="0"/>
        <v>2018</v>
      </c>
      <c r="G7" s="16">
        <f t="shared" ca="1" si="1"/>
        <v>7</v>
      </c>
      <c r="M7" s="15">
        <f t="shared" ca="1" si="2"/>
        <v>7</v>
      </c>
      <c r="N7" s="20">
        <f t="shared" ca="1" si="3"/>
        <v>2718</v>
      </c>
      <c r="O7" s="21">
        <f t="shared" si="4"/>
        <v>79000</v>
      </c>
      <c r="P7" s="22">
        <f t="shared" si="5"/>
        <v>78000</v>
      </c>
    </row>
    <row r="8" spans="1:16" ht="15" thickBot="1" x14ac:dyDescent="0.4">
      <c r="A8" s="3">
        <v>3007</v>
      </c>
      <c r="B8" s="4" t="s">
        <v>80</v>
      </c>
      <c r="C8" s="4" t="s">
        <v>81</v>
      </c>
      <c r="D8" s="4">
        <v>35960</v>
      </c>
      <c r="E8" s="5">
        <v>43505</v>
      </c>
      <c r="F8" s="15">
        <f t="shared" si="0"/>
        <v>2019</v>
      </c>
      <c r="G8" s="16">
        <f t="shared" ca="1" si="1"/>
        <v>6</v>
      </c>
      <c r="M8" s="15">
        <f t="shared" ca="1" si="2"/>
        <v>6</v>
      </c>
      <c r="N8" s="20">
        <f t="shared" ca="1" si="3"/>
        <v>2468</v>
      </c>
      <c r="O8" s="21">
        <f t="shared" si="4"/>
        <v>36000</v>
      </c>
      <c r="P8" s="22">
        <f t="shared" si="5"/>
        <v>35000</v>
      </c>
    </row>
    <row r="9" spans="1:16" ht="15" thickBot="1" x14ac:dyDescent="0.4">
      <c r="A9" s="3">
        <v>3008</v>
      </c>
      <c r="B9" s="4" t="s">
        <v>82</v>
      </c>
      <c r="C9" s="4" t="s">
        <v>78</v>
      </c>
      <c r="D9" s="4">
        <v>91659</v>
      </c>
      <c r="E9" s="5">
        <v>43755</v>
      </c>
      <c r="F9" s="15">
        <f t="shared" si="0"/>
        <v>2019</v>
      </c>
      <c r="G9" s="16">
        <f t="shared" ca="1" si="1"/>
        <v>6</v>
      </c>
      <c r="M9" s="15">
        <f t="shared" ca="1" si="2"/>
        <v>6</v>
      </c>
      <c r="N9" s="20">
        <f t="shared" ca="1" si="3"/>
        <v>2218</v>
      </c>
      <c r="O9" s="21">
        <f t="shared" si="4"/>
        <v>92000</v>
      </c>
      <c r="P9" s="22">
        <f t="shared" si="5"/>
        <v>91000</v>
      </c>
    </row>
    <row r="10" spans="1:16" ht="15" thickBot="1" x14ac:dyDescent="0.4">
      <c r="A10" s="3">
        <v>3009</v>
      </c>
      <c r="B10" s="4" t="s">
        <v>83</v>
      </c>
      <c r="C10" s="4" t="s">
        <v>78</v>
      </c>
      <c r="D10" s="4">
        <v>90423</v>
      </c>
      <c r="E10" s="5">
        <v>44005</v>
      </c>
      <c r="F10" s="15">
        <f t="shared" si="0"/>
        <v>2020</v>
      </c>
      <c r="G10" s="16">
        <f t="shared" ca="1" si="1"/>
        <v>5</v>
      </c>
      <c r="M10" s="15">
        <f t="shared" ca="1" si="2"/>
        <v>5</v>
      </c>
      <c r="N10" s="20">
        <f t="shared" ca="1" si="3"/>
        <v>1968</v>
      </c>
      <c r="O10" s="21">
        <f t="shared" si="4"/>
        <v>91000</v>
      </c>
      <c r="P10" s="22">
        <f t="shared" si="5"/>
        <v>90000</v>
      </c>
    </row>
    <row r="11" spans="1:16" ht="15.5" customHeight="1" thickBot="1" x14ac:dyDescent="0.4">
      <c r="A11" s="3">
        <v>3010</v>
      </c>
      <c r="B11" s="4" t="s">
        <v>84</v>
      </c>
      <c r="C11" s="4" t="s">
        <v>75</v>
      </c>
      <c r="D11" s="4">
        <v>107877</v>
      </c>
      <c r="E11" s="5">
        <v>44255</v>
      </c>
      <c r="F11" s="15">
        <f t="shared" si="0"/>
        <v>2021</v>
      </c>
      <c r="G11" s="16">
        <f t="shared" ca="1" si="1"/>
        <v>4</v>
      </c>
      <c r="M11" s="15">
        <f t="shared" ca="1" si="2"/>
        <v>4</v>
      </c>
      <c r="N11" s="20">
        <f t="shared" ca="1" si="3"/>
        <v>1718</v>
      </c>
      <c r="O11" s="21">
        <f t="shared" si="4"/>
        <v>108000</v>
      </c>
      <c r="P11" s="22">
        <f t="shared" si="5"/>
        <v>107000</v>
      </c>
    </row>
    <row r="12" spans="1:16" ht="16" customHeight="1" thickBot="1" x14ac:dyDescent="0.4">
      <c r="A12" s="3">
        <v>3011</v>
      </c>
      <c r="B12" s="4" t="s">
        <v>85</v>
      </c>
      <c r="C12" s="4" t="s">
        <v>72</v>
      </c>
      <c r="D12" s="4">
        <v>107634</v>
      </c>
      <c r="E12" s="5">
        <v>44505</v>
      </c>
      <c r="F12" s="15">
        <f t="shared" si="0"/>
        <v>2021</v>
      </c>
      <c r="G12" s="16">
        <f t="shared" ca="1" si="1"/>
        <v>4</v>
      </c>
      <c r="M12" s="15">
        <f t="shared" ca="1" si="2"/>
        <v>4</v>
      </c>
      <c r="N12" s="20">
        <f t="shared" ca="1" si="3"/>
        <v>1468</v>
      </c>
      <c r="O12" s="21">
        <f t="shared" si="4"/>
        <v>108000</v>
      </c>
      <c r="P12" s="22">
        <f t="shared" si="5"/>
        <v>107000</v>
      </c>
    </row>
    <row r="13" spans="1:16" ht="16" customHeight="1" thickBot="1" x14ac:dyDescent="0.4">
      <c r="A13" s="3">
        <v>3012</v>
      </c>
      <c r="B13" s="4" t="s">
        <v>86</v>
      </c>
      <c r="C13" s="4" t="s">
        <v>72</v>
      </c>
      <c r="D13" s="4">
        <v>35226</v>
      </c>
      <c r="E13" s="5">
        <v>44755</v>
      </c>
      <c r="F13" s="15">
        <f t="shared" si="0"/>
        <v>2022</v>
      </c>
      <c r="G13" s="16">
        <f t="shared" ca="1" si="1"/>
        <v>3</v>
      </c>
      <c r="M13" s="15">
        <f t="shared" ca="1" si="2"/>
        <v>3</v>
      </c>
      <c r="N13" s="20">
        <f t="shared" ca="1" si="3"/>
        <v>1218</v>
      </c>
      <c r="O13" s="21">
        <f t="shared" si="4"/>
        <v>36000</v>
      </c>
      <c r="P13" s="22">
        <f t="shared" si="5"/>
        <v>35000</v>
      </c>
    </row>
    <row r="14" spans="1:16" ht="15" thickBot="1" x14ac:dyDescent="0.4">
      <c r="A14" s="3">
        <v>3013</v>
      </c>
      <c r="B14" s="4" t="s">
        <v>87</v>
      </c>
      <c r="C14" s="4" t="s">
        <v>75</v>
      </c>
      <c r="D14" s="4">
        <v>40872</v>
      </c>
      <c r="E14" s="5">
        <v>45005</v>
      </c>
      <c r="F14" s="15">
        <f t="shared" si="0"/>
        <v>2023</v>
      </c>
      <c r="G14" s="16">
        <f t="shared" ca="1" si="1"/>
        <v>2</v>
      </c>
      <c r="M14" s="15">
        <f t="shared" ca="1" si="2"/>
        <v>2</v>
      </c>
      <c r="N14" s="20">
        <f t="shared" ca="1" si="3"/>
        <v>968</v>
      </c>
      <c r="O14" s="21">
        <f t="shared" si="4"/>
        <v>41000</v>
      </c>
      <c r="P14" s="22">
        <f t="shared" si="5"/>
        <v>40000</v>
      </c>
    </row>
    <row r="15" spans="1:16" ht="15" thickBot="1" x14ac:dyDescent="0.4">
      <c r="A15" s="3">
        <v>3014</v>
      </c>
      <c r="B15" s="4" t="s">
        <v>88</v>
      </c>
      <c r="C15" s="4" t="s">
        <v>75</v>
      </c>
      <c r="D15" s="4">
        <v>55378</v>
      </c>
      <c r="E15" s="5">
        <v>45255</v>
      </c>
      <c r="F15" s="15">
        <f t="shared" si="0"/>
        <v>2023</v>
      </c>
      <c r="G15" s="16">
        <f t="shared" ca="1" si="1"/>
        <v>1</v>
      </c>
      <c r="M15" s="15">
        <f t="shared" ca="1" si="2"/>
        <v>1</v>
      </c>
      <c r="N15" s="20">
        <f t="shared" ca="1" si="3"/>
        <v>718</v>
      </c>
      <c r="O15" s="21">
        <f t="shared" si="4"/>
        <v>56000</v>
      </c>
      <c r="P15" s="22">
        <f t="shared" si="5"/>
        <v>55000</v>
      </c>
    </row>
    <row r="16" spans="1:16" ht="15" thickBot="1" x14ac:dyDescent="0.4">
      <c r="A16" s="3">
        <v>3015</v>
      </c>
      <c r="B16" s="4" t="s">
        <v>89</v>
      </c>
      <c r="C16" s="4" t="s">
        <v>75</v>
      </c>
      <c r="D16" s="4">
        <v>63297</v>
      </c>
      <c r="E16" s="5">
        <v>45505</v>
      </c>
      <c r="F16" s="15">
        <f t="shared" si="0"/>
        <v>2024</v>
      </c>
      <c r="G16" s="16">
        <f t="shared" ca="1" si="1"/>
        <v>1</v>
      </c>
      <c r="M16" s="15">
        <f t="shared" ca="1" si="2"/>
        <v>1</v>
      </c>
      <c r="N16" s="20">
        <f t="shared" ca="1" si="3"/>
        <v>468</v>
      </c>
      <c r="O16" s="21">
        <f t="shared" si="4"/>
        <v>64000</v>
      </c>
      <c r="P16" s="22">
        <f t="shared" si="5"/>
        <v>63000</v>
      </c>
    </row>
    <row r="17" spans="1:16" ht="15" thickBot="1" x14ac:dyDescent="0.4">
      <c r="A17" s="3">
        <v>3016</v>
      </c>
      <c r="B17" s="4" t="s">
        <v>90</v>
      </c>
      <c r="C17" s="4" t="s">
        <v>72</v>
      </c>
      <c r="D17" s="4">
        <v>114173</v>
      </c>
      <c r="E17" s="5">
        <v>45755</v>
      </c>
      <c r="F17" s="15">
        <f t="shared" si="0"/>
        <v>2025</v>
      </c>
      <c r="G17" s="16">
        <f t="shared" ca="1" si="1"/>
        <v>0</v>
      </c>
      <c r="M17" s="15">
        <f t="shared" ca="1" si="2"/>
        <v>0</v>
      </c>
      <c r="N17" s="20">
        <f t="shared" ca="1" si="3"/>
        <v>218</v>
      </c>
      <c r="O17" s="21">
        <f t="shared" si="4"/>
        <v>115000</v>
      </c>
      <c r="P17" s="22">
        <f t="shared" si="5"/>
        <v>114000</v>
      </c>
    </row>
    <row r="18" spans="1:16" ht="15" thickBot="1" x14ac:dyDescent="0.4">
      <c r="A18" s="3">
        <v>3017</v>
      </c>
      <c r="B18" s="4" t="s">
        <v>91</v>
      </c>
      <c r="C18" s="4" t="s">
        <v>75</v>
      </c>
      <c r="D18" s="4">
        <v>86915</v>
      </c>
      <c r="E18" s="5">
        <v>46005</v>
      </c>
      <c r="F18" s="15">
        <f t="shared" si="0"/>
        <v>2025</v>
      </c>
      <c r="G18" s="16" t="e">
        <f t="shared" ca="1" si="1"/>
        <v>#NUM!</v>
      </c>
      <c r="M18" s="15"/>
      <c r="N18" s="20">
        <f t="shared" ca="1" si="3"/>
        <v>-32</v>
      </c>
      <c r="O18" s="21">
        <f t="shared" si="4"/>
        <v>87000</v>
      </c>
      <c r="P18" s="22">
        <f t="shared" si="5"/>
        <v>86000</v>
      </c>
    </row>
    <row r="19" spans="1:16" ht="15" thickBot="1" x14ac:dyDescent="0.4">
      <c r="A19" s="3">
        <v>3018</v>
      </c>
      <c r="B19" s="4" t="s">
        <v>92</v>
      </c>
      <c r="C19" s="4" t="s">
        <v>78</v>
      </c>
      <c r="D19" s="4">
        <v>116284</v>
      </c>
      <c r="E19" s="5">
        <v>46255</v>
      </c>
      <c r="F19" s="15">
        <f t="shared" si="0"/>
        <v>2026</v>
      </c>
      <c r="G19" s="16" t="e">
        <f t="shared" ca="1" si="1"/>
        <v>#NUM!</v>
      </c>
      <c r="M19" s="15"/>
      <c r="N19" s="20">
        <f t="shared" ca="1" si="3"/>
        <v>-282</v>
      </c>
      <c r="O19" s="21">
        <f t="shared" si="4"/>
        <v>117000</v>
      </c>
      <c r="P19" s="22">
        <f t="shared" si="5"/>
        <v>116000</v>
      </c>
    </row>
    <row r="20" spans="1:16" ht="15" thickBot="1" x14ac:dyDescent="0.4">
      <c r="A20" s="3">
        <v>3019</v>
      </c>
      <c r="B20" s="4" t="s">
        <v>93</v>
      </c>
      <c r="C20" s="4" t="s">
        <v>81</v>
      </c>
      <c r="D20" s="4">
        <v>116283</v>
      </c>
      <c r="E20" s="5">
        <v>46505</v>
      </c>
      <c r="F20" s="15">
        <f t="shared" si="0"/>
        <v>2027</v>
      </c>
      <c r="G20" s="16" t="e">
        <f t="shared" ca="1" si="1"/>
        <v>#NUM!</v>
      </c>
      <c r="M20" s="15"/>
      <c r="N20" s="20">
        <f t="shared" ca="1" si="3"/>
        <v>-532</v>
      </c>
      <c r="O20" s="21">
        <f t="shared" si="4"/>
        <v>117000</v>
      </c>
      <c r="P20" s="22">
        <f t="shared" si="5"/>
        <v>116000</v>
      </c>
    </row>
    <row r="21" spans="1:16" ht="15" thickBot="1" x14ac:dyDescent="0.4">
      <c r="A21" s="3">
        <v>3020</v>
      </c>
      <c r="B21" s="4" t="s">
        <v>94</v>
      </c>
      <c r="C21" s="4" t="s">
        <v>81</v>
      </c>
      <c r="D21" s="4">
        <v>99924</v>
      </c>
      <c r="E21" s="5">
        <v>46755</v>
      </c>
      <c r="F21" s="10">
        <f t="shared" si="0"/>
        <v>2028</v>
      </c>
      <c r="G21" s="17" t="e">
        <f t="shared" ca="1" si="1"/>
        <v>#NUM!</v>
      </c>
      <c r="M21" s="10"/>
      <c r="N21" s="23">
        <f t="shared" ca="1" si="3"/>
        <v>-782</v>
      </c>
      <c r="O21" s="24">
        <f t="shared" si="4"/>
        <v>100000</v>
      </c>
      <c r="P21" s="11">
        <f t="shared" si="5"/>
        <v>99000</v>
      </c>
    </row>
    <row r="25" spans="1:16" x14ac:dyDescent="0.35">
      <c r="A25" s="31" t="s">
        <v>66</v>
      </c>
      <c r="B25" s="32"/>
      <c r="F25" s="30" t="s">
        <v>28</v>
      </c>
    </row>
    <row r="26" spans="1:16" x14ac:dyDescent="0.35">
      <c r="A26" s="12" t="s">
        <v>1</v>
      </c>
      <c r="B26" s="13" t="s">
        <v>69</v>
      </c>
      <c r="F26" s="6" t="str">
        <f>INDEX(B2:B21,MATCH(3010,A2:A21,0))</f>
        <v>Employee 10</v>
      </c>
    </row>
    <row r="27" spans="1:16" x14ac:dyDescent="0.35">
      <c r="A27" s="10" t="s">
        <v>90</v>
      </c>
      <c r="B27" s="11">
        <f>_xlfn.XLOOKUP(A27,B2:B21,D2:D21,"No Data Found",0,1)</f>
        <v>114173</v>
      </c>
    </row>
    <row r="29" spans="1:16" x14ac:dyDescent="0.35">
      <c r="D29" s="25" t="s">
        <v>1</v>
      </c>
      <c r="E29" s="26" t="s">
        <v>69</v>
      </c>
    </row>
    <row r="30" spans="1:16" x14ac:dyDescent="0.35">
      <c r="D30" s="10" t="s">
        <v>80</v>
      </c>
      <c r="E30" s="11">
        <f>_xlfn.XLOOKUP(D30,B2:B21,D2:D21,"Not Found",0,1)</f>
        <v>35960</v>
      </c>
    </row>
    <row r="34" spans="4:5" x14ac:dyDescent="0.35">
      <c r="D34" s="25" t="s">
        <v>113</v>
      </c>
      <c r="E34" s="26" t="s">
        <v>112</v>
      </c>
    </row>
    <row r="35" spans="4:5" x14ac:dyDescent="0.35">
      <c r="D35" s="10" t="s">
        <v>111</v>
      </c>
      <c r="E35" s="11" t="str">
        <f ca="1">INDIRECT(D35,1)</f>
        <v>Finance</v>
      </c>
    </row>
  </sheetData>
  <mergeCells count="1"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Paree</dc:creator>
  <cp:lastModifiedBy>Paree Sojitra</cp:lastModifiedBy>
  <dcterms:created xsi:type="dcterms:W3CDTF">2025-11-11T15:27:50Z</dcterms:created>
  <dcterms:modified xsi:type="dcterms:W3CDTF">2025-11-11T19:14:00Z</dcterms:modified>
</cp:coreProperties>
</file>