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RnW\Excel\"/>
    </mc:Choice>
  </mc:AlternateContent>
  <xr:revisionPtr revIDLastSave="0" documentId="13_ncr:1_{4AECD746-E733-408A-B44F-65D0AED4647A}" xr6:coauthVersionLast="47" xr6:coauthVersionMax="47" xr10:uidLastSave="{00000000-0000-0000-0000-000000000000}"/>
  <bookViews>
    <workbookView xWindow="-110" yWindow="-110" windowWidth="19420" windowHeight="10300" activeTab="1" xr2:uid="{50945343-8C72-41A2-88B7-760B1BBA1666}"/>
  </bookViews>
  <sheets>
    <sheet name="RawData" sheetId="1" r:id="rId1"/>
    <sheet name="Dashboard" sheetId="2" r:id="rId2"/>
  </sheets>
  <definedNames>
    <definedName name="Discount_Input">'RawData'!$S$2</definedName>
  </definedNames>
  <calcPr calcId="191029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 a="1"/>
  <c r="N2" i="1" s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172" i="1" a="1"/>
  <c r="N172" i="1" s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 s="1"/>
  <c r="N179" i="1" a="1"/>
  <c r="N179" i="1" s="1"/>
  <c r="N180" i="1" a="1"/>
  <c r="N180" i="1" s="1"/>
  <c r="N181" i="1" a="1"/>
  <c r="N181" i="1" s="1"/>
  <c r="N182" i="1" a="1"/>
  <c r="N182" i="1" s="1"/>
  <c r="N183" i="1" a="1"/>
  <c r="N183" i="1" s="1"/>
  <c r="N184" i="1" a="1"/>
  <c r="N184" i="1" s="1"/>
  <c r="N185" i="1" a="1"/>
  <c r="N185" i="1" s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 s="1"/>
  <c r="N195" i="1" a="1"/>
  <c r="N195" i="1" s="1"/>
  <c r="N196" i="1" a="1"/>
  <c r="N196" i="1" s="1"/>
  <c r="N197" i="1" a="1"/>
  <c r="N197" i="1" s="1"/>
  <c r="N198" i="1" a="1"/>
  <c r="N198" i="1" s="1"/>
  <c r="O198" i="1" s="1"/>
  <c r="N199" i="1" a="1"/>
  <c r="N199" i="1" s="1"/>
  <c r="N200" i="1" a="1"/>
  <c r="N200" i="1" s="1"/>
  <c r="N201" i="1" a="1"/>
  <c r="N201" i="1" s="1"/>
  <c r="S14" i="1"/>
  <c r="S1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S25" i="1"/>
  <c r="S24" i="1"/>
  <c r="S23" i="1"/>
  <c r="S22" i="1"/>
  <c r="S21" i="1"/>
  <c r="S20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O201" i="1" l="1"/>
  <c r="O197" i="1"/>
  <c r="O193" i="1"/>
  <c r="O189" i="1"/>
  <c r="O185" i="1"/>
  <c r="O181" i="1"/>
  <c r="O177" i="1"/>
  <c r="O173" i="1"/>
  <c r="O169" i="1"/>
  <c r="O165" i="1"/>
  <c r="O161" i="1"/>
  <c r="O157" i="1"/>
  <c r="O153" i="1"/>
  <c r="O149" i="1"/>
  <c r="O145" i="1"/>
  <c r="O141" i="1"/>
  <c r="O137" i="1"/>
  <c r="O133" i="1"/>
  <c r="O129" i="1"/>
  <c r="O125" i="1"/>
  <c r="O121" i="1"/>
  <c r="O117" i="1"/>
  <c r="O113" i="1"/>
  <c r="O200" i="1"/>
  <c r="O196" i="1"/>
  <c r="O192" i="1"/>
  <c r="O188" i="1"/>
  <c r="O184" i="1"/>
  <c r="O180" i="1"/>
  <c r="O176" i="1"/>
  <c r="O172" i="1"/>
  <c r="O168" i="1"/>
  <c r="O164" i="1"/>
  <c r="O160" i="1"/>
  <c r="O156" i="1"/>
  <c r="O152" i="1"/>
  <c r="O148" i="1"/>
  <c r="O144" i="1"/>
  <c r="O140" i="1"/>
  <c r="O136" i="1"/>
  <c r="O132" i="1"/>
  <c r="O128" i="1"/>
  <c r="O124" i="1"/>
  <c r="O120" i="1"/>
  <c r="O116" i="1"/>
  <c r="O199" i="1"/>
  <c r="O195" i="1"/>
  <c r="O191" i="1"/>
  <c r="O187" i="1"/>
  <c r="O183" i="1"/>
  <c r="O179" i="1"/>
  <c r="O175" i="1"/>
  <c r="O171" i="1"/>
  <c r="O167" i="1"/>
  <c r="O163" i="1"/>
  <c r="O159" i="1"/>
  <c r="O155" i="1"/>
  <c r="O151" i="1"/>
  <c r="O147" i="1"/>
  <c r="O143" i="1"/>
  <c r="O139" i="1"/>
  <c r="O135" i="1"/>
  <c r="O131" i="1"/>
  <c r="O127" i="1"/>
  <c r="O123" i="1"/>
  <c r="O119" i="1"/>
  <c r="O115" i="1"/>
  <c r="O111" i="1"/>
  <c r="O194" i="1"/>
  <c r="O190" i="1"/>
  <c r="O186" i="1"/>
  <c r="O182" i="1"/>
  <c r="O178" i="1"/>
  <c r="O174" i="1"/>
  <c r="O170" i="1"/>
  <c r="O166" i="1"/>
  <c r="O162" i="1"/>
  <c r="O158" i="1"/>
  <c r="O154" i="1"/>
  <c r="O150" i="1"/>
  <c r="O146" i="1"/>
  <c r="O142" i="1"/>
  <c r="O138" i="1"/>
  <c r="O134" i="1"/>
  <c r="O130" i="1"/>
  <c r="O126" i="1"/>
  <c r="O122" i="1"/>
  <c r="O118" i="1"/>
  <c r="O114" i="1"/>
  <c r="O110" i="1"/>
  <c r="O109" i="1"/>
  <c r="O105" i="1"/>
  <c r="O101" i="1"/>
  <c r="O97" i="1"/>
  <c r="O93" i="1"/>
  <c r="O89" i="1"/>
  <c r="O85" i="1"/>
  <c r="O81" i="1"/>
  <c r="O77" i="1"/>
  <c r="O73" i="1"/>
  <c r="O69" i="1"/>
  <c r="O65" i="1"/>
  <c r="O61" i="1"/>
  <c r="O57" i="1"/>
  <c r="O53" i="1"/>
  <c r="O49" i="1"/>
  <c r="O45" i="1"/>
  <c r="O41" i="1"/>
  <c r="O37" i="1"/>
  <c r="O33" i="1"/>
  <c r="O29" i="1"/>
  <c r="O25" i="1"/>
  <c r="O21" i="1"/>
  <c r="O17" i="1"/>
  <c r="O13" i="1"/>
  <c r="O9" i="1"/>
  <c r="O5" i="1"/>
  <c r="O112" i="1"/>
  <c r="O108" i="1"/>
  <c r="O104" i="1"/>
  <c r="O100" i="1"/>
  <c r="O96" i="1"/>
  <c r="O92" i="1"/>
  <c r="O88" i="1"/>
  <c r="O84" i="1"/>
  <c r="O80" i="1"/>
  <c r="O76" i="1"/>
  <c r="O72" i="1"/>
  <c r="O68" i="1"/>
  <c r="O64" i="1"/>
  <c r="O60" i="1"/>
  <c r="O56" i="1"/>
  <c r="O52" i="1"/>
  <c r="O48" i="1"/>
  <c r="O44" i="1"/>
  <c r="O40" i="1"/>
  <c r="O36" i="1"/>
  <c r="O32" i="1"/>
  <c r="O28" i="1"/>
  <c r="O24" i="1"/>
  <c r="O20" i="1"/>
  <c r="O16" i="1"/>
  <c r="O12" i="1"/>
  <c r="O8" i="1"/>
  <c r="O4" i="1"/>
  <c r="O107" i="1"/>
  <c r="O103" i="1"/>
  <c r="O99" i="1"/>
  <c r="O95" i="1"/>
  <c r="O91" i="1"/>
  <c r="O87" i="1"/>
  <c r="O83" i="1"/>
  <c r="O79" i="1"/>
  <c r="O75" i="1"/>
  <c r="O71" i="1"/>
  <c r="O67" i="1"/>
  <c r="O63" i="1"/>
  <c r="O59" i="1"/>
  <c r="O55" i="1"/>
  <c r="O51" i="1"/>
  <c r="O47" i="1"/>
  <c r="O43" i="1"/>
  <c r="O39" i="1"/>
  <c r="O35" i="1"/>
  <c r="O31" i="1"/>
  <c r="O27" i="1"/>
  <c r="O23" i="1"/>
  <c r="O19" i="1"/>
  <c r="O15" i="1"/>
  <c r="O11" i="1"/>
  <c r="O7" i="1"/>
  <c r="O3" i="1"/>
  <c r="O106" i="1"/>
  <c r="O102" i="1"/>
  <c r="O98" i="1"/>
  <c r="O94" i="1"/>
  <c r="O90" i="1"/>
  <c r="O86" i="1"/>
  <c r="O82" i="1"/>
  <c r="O78" i="1"/>
  <c r="O74" i="1"/>
  <c r="O70" i="1"/>
  <c r="O66" i="1"/>
  <c r="O62" i="1"/>
  <c r="O58" i="1"/>
  <c r="O54" i="1"/>
  <c r="O50" i="1"/>
  <c r="O46" i="1"/>
  <c r="O42" i="1"/>
  <c r="O38" i="1"/>
  <c r="O34" i="1"/>
  <c r="O30" i="1"/>
  <c r="O26" i="1"/>
  <c r="O22" i="1"/>
  <c r="O18" i="1"/>
  <c r="O14" i="1"/>
  <c r="O10" i="1"/>
  <c r="O6" i="1"/>
  <c r="O2" i="1"/>
  <c r="K198" i="1"/>
  <c r="K194" i="1"/>
  <c r="M5" i="1"/>
  <c r="K186" i="1"/>
  <c r="M200" i="1"/>
  <c r="M196" i="1"/>
  <c r="M192" i="1"/>
  <c r="M188" i="1"/>
  <c r="M184" i="1"/>
  <c r="M180" i="1"/>
  <c r="M176" i="1"/>
  <c r="M172" i="1"/>
  <c r="M168" i="1"/>
  <c r="M164" i="1"/>
  <c r="M160" i="1"/>
  <c r="M156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100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M40" i="1"/>
  <c r="M36" i="1"/>
  <c r="M32" i="1"/>
  <c r="M28" i="1"/>
  <c r="M24" i="1"/>
  <c r="M20" i="1"/>
  <c r="M16" i="1"/>
  <c r="M12" i="1"/>
  <c r="M8" i="1"/>
  <c r="M4" i="1"/>
  <c r="M199" i="1"/>
  <c r="M195" i="1"/>
  <c r="M191" i="1"/>
  <c r="M187" i="1"/>
  <c r="M183" i="1"/>
  <c r="M179" i="1"/>
  <c r="M175" i="1"/>
  <c r="M171" i="1"/>
  <c r="M167" i="1"/>
  <c r="M163" i="1"/>
  <c r="M159" i="1"/>
  <c r="M155" i="1"/>
  <c r="M151" i="1"/>
  <c r="M147" i="1"/>
  <c r="M143" i="1"/>
  <c r="M139" i="1"/>
  <c r="M135" i="1"/>
  <c r="M131" i="1"/>
  <c r="M127" i="1"/>
  <c r="M123" i="1"/>
  <c r="M119" i="1"/>
  <c r="M115" i="1"/>
  <c r="M111" i="1"/>
  <c r="M107" i="1"/>
  <c r="M103" i="1"/>
  <c r="M99" i="1"/>
  <c r="M95" i="1"/>
  <c r="M91" i="1"/>
  <c r="M87" i="1"/>
  <c r="M83" i="1"/>
  <c r="M79" i="1"/>
  <c r="M75" i="1"/>
  <c r="M71" i="1"/>
  <c r="M67" i="1"/>
  <c r="M63" i="1"/>
  <c r="M59" i="1"/>
  <c r="M55" i="1"/>
  <c r="M51" i="1"/>
  <c r="M47" i="1"/>
  <c r="M43" i="1"/>
  <c r="M39" i="1"/>
  <c r="M35" i="1"/>
  <c r="M31" i="1"/>
  <c r="M27" i="1"/>
  <c r="M23" i="1"/>
  <c r="M19" i="1"/>
  <c r="M15" i="1"/>
  <c r="M11" i="1"/>
  <c r="M7" i="1"/>
  <c r="M3" i="1"/>
  <c r="M198" i="1"/>
  <c r="M194" i="1"/>
  <c r="M190" i="1"/>
  <c r="M186" i="1"/>
  <c r="M182" i="1"/>
  <c r="M178" i="1"/>
  <c r="M174" i="1"/>
  <c r="M170" i="1"/>
  <c r="M166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102" i="1"/>
  <c r="M98" i="1"/>
  <c r="M94" i="1"/>
  <c r="M90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M10" i="1"/>
  <c r="M6" i="1"/>
  <c r="M2" i="1"/>
  <c r="M201" i="1"/>
  <c r="M197" i="1"/>
  <c r="M193" i="1"/>
  <c r="M189" i="1"/>
  <c r="M185" i="1"/>
  <c r="M181" i="1"/>
  <c r="M177" i="1"/>
  <c r="M173" i="1"/>
  <c r="M169" i="1"/>
  <c r="M165" i="1"/>
  <c r="M161" i="1"/>
  <c r="M157" i="1"/>
  <c r="M153" i="1"/>
  <c r="M149" i="1"/>
  <c r="M145" i="1"/>
  <c r="M141" i="1"/>
  <c r="M137" i="1"/>
  <c r="M133" i="1"/>
  <c r="M129" i="1"/>
  <c r="M125" i="1"/>
  <c r="M121" i="1"/>
  <c r="M117" i="1"/>
  <c r="M113" i="1"/>
  <c r="M109" i="1"/>
  <c r="M105" i="1"/>
  <c r="M101" i="1"/>
  <c r="M97" i="1"/>
  <c r="M93" i="1"/>
  <c r="M89" i="1"/>
  <c r="M85" i="1"/>
  <c r="M81" i="1"/>
  <c r="M77" i="1"/>
  <c r="M73" i="1"/>
  <c r="M69" i="1"/>
  <c r="M65" i="1"/>
  <c r="M61" i="1"/>
  <c r="M57" i="1"/>
  <c r="M53" i="1"/>
  <c r="M49" i="1"/>
  <c r="M45" i="1"/>
  <c r="M41" i="1"/>
  <c r="M37" i="1"/>
  <c r="M33" i="1"/>
  <c r="M29" i="1"/>
  <c r="M25" i="1"/>
  <c r="M21" i="1"/>
  <c r="M17" i="1"/>
  <c r="M13" i="1"/>
  <c r="M9" i="1"/>
  <c r="S4" i="1"/>
  <c r="S11" i="1"/>
  <c r="S7" i="1"/>
  <c r="S10" i="1"/>
  <c r="S6" i="1"/>
  <c r="S5" i="1"/>
  <c r="S9" i="1"/>
  <c r="S3" i="1"/>
  <c r="S8" i="1"/>
  <c r="K158" i="1"/>
  <c r="K174" i="1"/>
  <c r="K162" i="1"/>
  <c r="K193" i="1"/>
  <c r="K181" i="1"/>
  <c r="K169" i="1"/>
  <c r="K165" i="1"/>
  <c r="K161" i="1"/>
  <c r="K157" i="1"/>
  <c r="K153" i="1"/>
  <c r="K149" i="1"/>
  <c r="K145" i="1"/>
  <c r="K182" i="1"/>
  <c r="K170" i="1"/>
  <c r="K201" i="1"/>
  <c r="K189" i="1"/>
  <c r="K177" i="1"/>
  <c r="K173" i="1"/>
  <c r="K200" i="1"/>
  <c r="K196" i="1"/>
  <c r="K192" i="1"/>
  <c r="K188" i="1"/>
  <c r="K184" i="1"/>
  <c r="K180" i="1"/>
  <c r="K176" i="1"/>
  <c r="K172" i="1"/>
  <c r="K168" i="1"/>
  <c r="K164" i="1"/>
  <c r="K160" i="1"/>
  <c r="K156" i="1"/>
  <c r="K152" i="1"/>
  <c r="K148" i="1"/>
  <c r="K144" i="1"/>
  <c r="K190" i="1"/>
  <c r="K178" i="1"/>
  <c r="K166" i="1"/>
  <c r="K197" i="1"/>
  <c r="K185" i="1"/>
  <c r="K199" i="1"/>
  <c r="K195" i="1"/>
  <c r="K191" i="1"/>
  <c r="K187" i="1"/>
  <c r="K183" i="1"/>
  <c r="K179" i="1"/>
  <c r="K175" i="1"/>
  <c r="K171" i="1"/>
  <c r="K167" i="1"/>
  <c r="K163" i="1"/>
  <c r="K159" i="1"/>
  <c r="K155" i="1"/>
  <c r="K151" i="1"/>
  <c r="K147" i="1"/>
  <c r="K143" i="1"/>
  <c r="K139" i="1"/>
  <c r="K154" i="1"/>
  <c r="K150" i="1"/>
  <c r="K146" i="1"/>
  <c r="K142" i="1"/>
  <c r="K138" i="1"/>
  <c r="K134" i="1"/>
  <c r="K130" i="1"/>
  <c r="K141" i="1"/>
  <c r="K137" i="1"/>
  <c r="K133" i="1"/>
  <c r="K129" i="1"/>
  <c r="K125" i="1"/>
  <c r="K121" i="1"/>
  <c r="K117" i="1"/>
  <c r="K113" i="1"/>
  <c r="K109" i="1"/>
  <c r="K105" i="1"/>
  <c r="K101" i="1"/>
  <c r="K97" i="1"/>
  <c r="K93" i="1"/>
  <c r="K89" i="1"/>
  <c r="K85" i="1"/>
  <c r="K81" i="1"/>
  <c r="K77" i="1"/>
  <c r="K73" i="1"/>
  <c r="K69" i="1"/>
  <c r="K65" i="1"/>
  <c r="K61" i="1"/>
  <c r="K57" i="1"/>
  <c r="K53" i="1"/>
  <c r="K49" i="1"/>
  <c r="K45" i="1"/>
  <c r="K41" i="1"/>
  <c r="K37" i="1"/>
  <c r="K33" i="1"/>
  <c r="K29" i="1"/>
  <c r="K25" i="1"/>
  <c r="K21" i="1"/>
  <c r="K17" i="1"/>
  <c r="K13" i="1"/>
  <c r="K9" i="1"/>
  <c r="K5" i="1"/>
  <c r="K140" i="1"/>
  <c r="K136" i="1"/>
  <c r="K132" i="1"/>
  <c r="K128" i="1"/>
  <c r="K124" i="1"/>
  <c r="K120" i="1"/>
  <c r="K116" i="1"/>
  <c r="K112" i="1"/>
  <c r="K108" i="1"/>
  <c r="K104" i="1"/>
  <c r="K100" i="1"/>
  <c r="K96" i="1"/>
  <c r="K92" i="1"/>
  <c r="K88" i="1"/>
  <c r="K84" i="1"/>
  <c r="K80" i="1"/>
  <c r="K76" i="1"/>
  <c r="K72" i="1"/>
  <c r="K68" i="1"/>
  <c r="K64" i="1"/>
  <c r="K60" i="1"/>
  <c r="K56" i="1"/>
  <c r="K52" i="1"/>
  <c r="K48" i="1"/>
  <c r="K44" i="1"/>
  <c r="K40" i="1"/>
  <c r="K36" i="1"/>
  <c r="K32" i="1"/>
  <c r="K28" i="1"/>
  <c r="K24" i="1"/>
  <c r="K20" i="1"/>
  <c r="K16" i="1"/>
  <c r="K12" i="1"/>
  <c r="K8" i="1"/>
  <c r="K4" i="1"/>
  <c r="K135" i="1"/>
  <c r="K131" i="1"/>
  <c r="K127" i="1"/>
  <c r="K123" i="1"/>
  <c r="K119" i="1"/>
  <c r="K115" i="1"/>
  <c r="K111" i="1"/>
  <c r="K107" i="1"/>
  <c r="K103" i="1"/>
  <c r="K99" i="1"/>
  <c r="K95" i="1"/>
  <c r="K91" i="1"/>
  <c r="K87" i="1"/>
  <c r="K83" i="1"/>
  <c r="K79" i="1"/>
  <c r="K75" i="1"/>
  <c r="K71" i="1"/>
  <c r="K67" i="1"/>
  <c r="K63" i="1"/>
  <c r="K59" i="1"/>
  <c r="K55" i="1"/>
  <c r="K51" i="1"/>
  <c r="K47" i="1"/>
  <c r="K43" i="1"/>
  <c r="K39" i="1"/>
  <c r="K35" i="1"/>
  <c r="K31" i="1"/>
  <c r="K27" i="1"/>
  <c r="K23" i="1"/>
  <c r="K19" i="1"/>
  <c r="K15" i="1"/>
  <c r="K11" i="1"/>
  <c r="K7" i="1"/>
  <c r="K3" i="1"/>
  <c r="K126" i="1"/>
  <c r="K122" i="1"/>
  <c r="K118" i="1"/>
  <c r="K114" i="1"/>
  <c r="K110" i="1"/>
  <c r="K106" i="1"/>
  <c r="K102" i="1"/>
  <c r="K98" i="1"/>
  <c r="K94" i="1"/>
  <c r="K90" i="1"/>
  <c r="K86" i="1"/>
  <c r="K82" i="1"/>
  <c r="K78" i="1"/>
  <c r="K74" i="1"/>
  <c r="K70" i="1"/>
  <c r="K66" i="1"/>
  <c r="K62" i="1"/>
  <c r="K58" i="1"/>
  <c r="K54" i="1"/>
  <c r="K50" i="1"/>
  <c r="K46" i="1"/>
  <c r="K42" i="1"/>
  <c r="K38" i="1"/>
  <c r="K34" i="1"/>
  <c r="K30" i="1"/>
  <c r="K26" i="1"/>
  <c r="K22" i="1"/>
  <c r="K18" i="1"/>
  <c r="K14" i="1"/>
  <c r="K10" i="1"/>
  <c r="K6" i="1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<sst xmlns="http://schemas.openxmlformats.org/spreadsheetml/2006/main" count="877" uniqueCount="112">
  <si>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</si>
  <si>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</si>
  <si>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</si>
  <si>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</si>
  <si>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</si>
  <si>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</si>
  <si>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</si>
  <si>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</si>
  <si>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</si>
  <si>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</si>
  <si>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</si>
  <si>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</si>
  <si>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</si>
  <si>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</si>
  <si>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</si>
  <si>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</si>
  <si>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</si>
  <si>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</si>
  <si>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</si>
  <si>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</si>
  <si>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</si>
  <si>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</si>
  <si>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</si>
  <si>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</si>
  <si>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</si>
  <si>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</si>
  <si>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</si>
  <si>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</si>
  <si>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</si>
  <si>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</si>
  <si>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</si>
  <si>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</si>
  <si>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</si>
  <si>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</si>
  <si>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</si>
  <si>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</si>
  <si>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</si>
  <si>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</si>
  <si>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</si>
  <si>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</si>
  <si>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</si>
  <si>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</si>
  <si>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</si>
  <si>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</si>
  <si>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</si>
  <si>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</si>
  <si>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</si>
  <si>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</si>
  <si>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</si>
  <si>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</si>
  <si>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</si>
  <si>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</si>
  <si>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</si>
  <si>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</si>
  <si>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</si>
  <si>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</si>
  <si>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</si>
  <si>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</si>
  <si>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</si>
  <si>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</si>
  <si>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</si>
  <si>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</si>
  <si>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</si>
  <si>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</si>
  <si>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</si>
  <si>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</si>
  <si>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</si>
  <si>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</si>
  <si>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</si>
  <si>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</si>
  <si>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</si>
  <si>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</si>
  <si>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</si>
  <si>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</si>
  <si>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</si>
  <si>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</si>
  <si>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Row Labels</t>
  </si>
  <si>
    <t>Grand Total</t>
  </si>
  <si>
    <t>Sum of Sales</t>
  </si>
  <si>
    <t>Column Labels</t>
  </si>
  <si>
    <t>Sales_Month</t>
  </si>
  <si>
    <t>Month_Total_Sales</t>
  </si>
  <si>
    <t>Linear Regration</t>
  </si>
  <si>
    <t>Estimate Profit</t>
  </si>
  <si>
    <t>Slope(m) =</t>
  </si>
  <si>
    <t>Intercept( c)=</t>
  </si>
  <si>
    <t>Descriptive Statistic</t>
  </si>
  <si>
    <t>Mean</t>
  </si>
  <si>
    <t>Min</t>
  </si>
  <si>
    <t>Max</t>
  </si>
  <si>
    <t>Median</t>
  </si>
  <si>
    <t>Sum</t>
  </si>
  <si>
    <t>Count</t>
  </si>
  <si>
    <t>Timestamp</t>
  </si>
  <si>
    <t>Total_Profit_Per_Customer</t>
  </si>
  <si>
    <t>High_Value_Customers</t>
  </si>
  <si>
    <t>Total Sales</t>
  </si>
  <si>
    <t>Apr-24</t>
  </si>
  <si>
    <t>Apr-25</t>
  </si>
  <si>
    <t>Aug-24</t>
  </si>
  <si>
    <t>Dec-24</t>
  </si>
  <si>
    <t>Feb-25</t>
  </si>
  <si>
    <t>Jan-25</t>
  </si>
  <si>
    <t>Jul-24</t>
  </si>
  <si>
    <t>Jun-24</t>
  </si>
  <si>
    <t>Mar-25</t>
  </si>
  <si>
    <t>May-24</t>
  </si>
  <si>
    <t>Nov-24</t>
  </si>
  <si>
    <t>Oct-24</t>
  </si>
  <si>
    <t>Sep-24</t>
  </si>
  <si>
    <t>Sum of Month_Total_Sales</t>
  </si>
  <si>
    <t>Sales Data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</si>
</sst>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36"/>
      <color theme="4" tint="0.39997558519241921"/>
      <name val="Algerian"/>
      <family val="5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7" formatCode="dd/mm/yy\ h:mm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numFmt numFmtId="19" formatCode="dd/mm/yy"/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 2.xlsx]RawData!Sales_by_region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  <a:sp3d contourW="9525">
            <a:contourClr>
              <a:schemeClr val="accent6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'RawData'!$R$40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'RawData'!$Q$41:$Q$46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'RawData'!$R$41:$R$46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D-48CF-87CA-C082FEA481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3091280"/>
        <c:axId val="363090448"/>
        <c:axId val="0"/>
      </c:bar3DChart>
      <c:catAx>
        <c:axId val="363091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90448"/>
        <c:crosses val="autoZero"/>
        <c:auto val="1"/>
        <c:lblAlgn val="ctr"/>
        <c:lblOffset val="100"/>
        <c:noMultiLvlLbl val="0"/>
      </c:catAx>
      <c:valAx>
        <c:axId val="363090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30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 2.xlsx]RawData!Tot_sales_by_month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Sales</a:t>
            </a:r>
            <a:r>
              <a:rPr lang="en-US" sz="1600" baseline="0">
                <a:solidFill>
                  <a:schemeClr val="tx1"/>
                </a:solidFill>
              </a:rPr>
              <a:t> by month</a:t>
            </a:r>
            <a:endParaRPr lang="en-US" sz="16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08678915135608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8100" cap="flat" cmpd="dbl" algn="ctr">
            <a:solidFill>
              <a:schemeClr val="accent6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'RawData'!$U$40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accent6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'RawData'!$T$41:$T$54</c:f>
              <c:strCache>
                <c:ptCount val="13"/>
                <c:pt idx="0">
                  <c:v>Apr-24</c:v>
                </c:pt>
                <c:pt idx="1">
                  <c:v>Apr-25</c:v>
                </c:pt>
                <c:pt idx="2">
                  <c:v>Aug-24</c:v>
                </c:pt>
                <c:pt idx="3">
                  <c:v>Dec-24</c:v>
                </c:pt>
                <c:pt idx="4">
                  <c:v>Feb-25</c:v>
                </c:pt>
                <c:pt idx="5">
                  <c:v>Jan-25</c:v>
                </c:pt>
                <c:pt idx="6">
                  <c:v>Jul-24</c:v>
                </c:pt>
                <c:pt idx="7">
                  <c:v>Jun-24</c:v>
                </c:pt>
                <c:pt idx="8">
                  <c:v>Mar-25</c:v>
                </c:pt>
                <c:pt idx="9">
                  <c:v>May-24</c:v>
                </c:pt>
                <c:pt idx="10">
                  <c:v>Nov-24</c:v>
                </c:pt>
                <c:pt idx="11">
                  <c:v>Oct-24</c:v>
                </c:pt>
                <c:pt idx="12">
                  <c:v>Sep-24</c:v>
                </c:pt>
              </c:strCache>
            </c:strRef>
          </c:cat>
          <c:val>
            <c:numRef>
              <c:f>'RawData'!$U$41:$U$54</c:f>
              <c:numCache>
                <c:formatCode>General</c:formatCode>
                <c:ptCount val="13"/>
                <c:pt idx="0">
                  <c:v>361569.24000000005</c:v>
                </c:pt>
                <c:pt idx="1">
                  <c:v>12848.68</c:v>
                </c:pt>
                <c:pt idx="2">
                  <c:v>100916.99999999999</c:v>
                </c:pt>
                <c:pt idx="3">
                  <c:v>122320.44000000003</c:v>
                </c:pt>
                <c:pt idx="4">
                  <c:v>196089.03999999992</c:v>
                </c:pt>
                <c:pt idx="5">
                  <c:v>238634.39999999994</c:v>
                </c:pt>
                <c:pt idx="6">
                  <c:v>139308.47999999995</c:v>
                </c:pt>
                <c:pt idx="7">
                  <c:v>403750.20000000007</c:v>
                </c:pt>
                <c:pt idx="8">
                  <c:v>335449.17999999988</c:v>
                </c:pt>
                <c:pt idx="9">
                  <c:v>388654.13999999978</c:v>
                </c:pt>
                <c:pt idx="10">
                  <c:v>402700.60000000021</c:v>
                </c:pt>
                <c:pt idx="11">
                  <c:v>199013.36</c:v>
                </c:pt>
                <c:pt idx="12">
                  <c:v>410669.99999999994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6C-45A0-BDBC-8B1468BCF8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9197728"/>
        <c:axId val="359202304"/>
      </c:lineChart>
      <c:catAx>
        <c:axId val="35919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02304"/>
        <c:crosses val="autoZero"/>
        <c:auto val="1"/>
        <c:lblAlgn val="ctr"/>
        <c:lblOffset val="100"/>
        <c:noMultiLvlLbl val="0"/>
      </c:catAx>
      <c:valAx>
        <c:axId val="3592023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5919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 2.xlsx]RawData!Sales_by_category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By Category</a:t>
            </a:r>
          </a:p>
        </c:rich>
      </c:tx>
      <c:layout>
        <c:manualLayout>
          <c:xMode val="edge"/>
          <c:yMode val="edge"/>
          <c:x val="0.30629855643044618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>
              <a:shade val="5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2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4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5"/>
        <c:spPr>
          <a:solidFill>
            <a:schemeClr val="accent6">
              <a:tint val="5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'RawData'!$X$40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7157-47EB-BB35-A2610C2CCBAB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157-47EB-BB35-A2610C2CCBAB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7157-47EB-BB35-A2610C2CCBAB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7157-47EB-BB35-A2610C2CCBAB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7157-47EB-BB35-A2610C2CCBAB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shade val="5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2-7157-47EB-BB35-A2610C2CCBAB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7157-47EB-BB35-A2610C2CCBAB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4-7157-47EB-BB35-A2610C2CCBAB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7157-47EB-BB35-A2610C2CCBAB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tint val="5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6-7157-47EB-BB35-A2610C2CCBA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70AD47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'RawData'!$W$41:$W$46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'RawData'!$X$41:$X$46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57-47EB-BB35-A2610C2C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 2.xlsx]RawData!Sales_by_region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  <a:sp3d contourW="9525">
            <a:contourClr>
              <a:schemeClr val="accent6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  <a:sp3d contourW="9525">
            <a:contourClr>
              <a:schemeClr val="accent6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  <a:sp3d contourW="9525">
            <a:contourClr>
              <a:schemeClr val="accent6"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'RawData'!$R$40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'RawData'!$Q$41:$Q$46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'RawData'!$R$41:$R$46</c:f>
              <c:numCache>
                <c:formatCode>General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8-478D-A9EC-1F38D25124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63091280"/>
        <c:axId val="363090448"/>
        <c:axId val="0"/>
      </c:bar3DChart>
      <c:catAx>
        <c:axId val="363091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090448"/>
        <c:crosses val="autoZero"/>
        <c:auto val="1"/>
        <c:lblAlgn val="ctr"/>
        <c:lblOffset val="100"/>
        <c:noMultiLvlLbl val="0"/>
      </c:catAx>
      <c:valAx>
        <c:axId val="363090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309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 2.xlsx]RawData!Sales_by_category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Sales By Category</a:t>
            </a:r>
          </a:p>
        </c:rich>
      </c:tx>
      <c:layout>
        <c:manualLayout>
          <c:xMode val="edge"/>
          <c:yMode val="edge"/>
          <c:x val="0.30629855643044618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6">
              <a:shade val="5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2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4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5"/>
        <c:spPr>
          <a:solidFill>
            <a:schemeClr val="accent6">
              <a:tint val="5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xForSave val="1"/>
            </c:ext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6">
              <a:shade val="5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shade val="53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6">
              <a:tint val="5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tint val="5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6">
              <a:shade val="53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shade val="53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6">
              <a:shade val="76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shade val="7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6">
              <a:tint val="77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tint val="77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6">
              <a:tint val="54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solidFill>
              <a:sysClr val="window" lastClr="FFFFFF"/>
            </a:solidFill>
            <a:ln>
              <a:solidFill>
                <a:srgbClr val="70AD47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tint val="54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'RawData'!$X$40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3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348-4EAD-B33C-1E240B828739}"/>
              </c:ext>
            </c:extLst>
          </c:dPt>
          <c:dPt>
            <c:idx val="1"/>
            <c:bubble3D val="0"/>
            <c:spPr>
              <a:solidFill>
                <a:schemeClr val="accent6">
                  <a:shade val="76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348-4EAD-B33C-1E240B828739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8348-4EAD-B33C-1E240B828739}"/>
              </c:ext>
            </c:extLst>
          </c:dPt>
          <c:dPt>
            <c:idx val="3"/>
            <c:bubble3D val="0"/>
            <c:spPr>
              <a:solidFill>
                <a:schemeClr val="accent6">
                  <a:tint val="77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8348-4EAD-B33C-1E240B828739}"/>
              </c:ext>
            </c:extLst>
          </c:dPt>
          <c:dPt>
            <c:idx val="4"/>
            <c:bubble3D val="0"/>
            <c:spPr>
              <a:solidFill>
                <a:schemeClr val="accent6">
                  <a:tint val="54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8348-4EAD-B33C-1E240B828739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shade val="53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8348-4EAD-B33C-1E240B828739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shade val="7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8348-4EAD-B33C-1E240B828739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8348-4EAD-B33C-1E240B828739}"/>
                </c:ext>
              </c:extLst>
            </c:dLbl>
            <c:dLbl>
              <c:idx val="3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tint val="77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8348-4EAD-B33C-1E240B828739}"/>
                </c:ext>
              </c:extLst>
            </c:dLbl>
            <c:dLbl>
              <c:idx val="4"/>
              <c:spPr>
                <a:solidFill>
                  <a:sysClr val="window" lastClr="FFFFFF"/>
                </a:solidFill>
                <a:ln>
                  <a:solidFill>
                    <a:srgbClr val="70AD47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tint val="54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9-8348-4EAD-B33C-1E240B828739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70AD47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'RawData'!$W$41:$W$46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'RawData'!$X$41:$X$46</c:f>
              <c:numCache>
                <c:formatCode>General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48-4EAD-B33C-1E240B828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[PR 2.xlsx]RawData!Tot_sales_by_month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Sales</a:t>
            </a:r>
            <a:r>
              <a:rPr lang="en-US" sz="1600" baseline="0">
                <a:solidFill>
                  <a:schemeClr val="tx1"/>
                </a:solidFill>
              </a:rPr>
              <a:t> by month</a:t>
            </a:r>
            <a:endParaRPr lang="en-US" sz="16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08678915135608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38100" cap="flat" cmpd="dbl" algn="ctr">
            <a:solidFill>
              <a:schemeClr val="accent6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38100" cap="flat" cmpd="dbl" algn="ctr">
            <a:solidFill>
              <a:schemeClr val="accent6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flat" cmpd="dbl" algn="ctr">
            <a:solidFill>
              <a:schemeClr val="accent6"/>
            </a:solidFill>
            <a:miter lim="800000"/>
          </a:ln>
          <a:effectLst/>
        </c:spPr>
        <c:marker>
          <c:symbol val="circle"/>
          <c:size val="6"/>
          <c:spPr>
            <a:solidFill>
              <a:schemeClr val="accent6"/>
            </a:solidFill>
            <a:ln w="9525" cap="flat" cmpd="sng" algn="ctr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'RawData'!$U$40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flat" cmpd="dbl" algn="ctr">
              <a:solidFill>
                <a:schemeClr val="accent6"/>
              </a:solidFill>
              <a:miter lim="800000"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 cap="flat" cmpd="sng" algn="ctr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'RawData'!$T$41:$T$54</c:f>
              <c:strCache>
                <c:ptCount val="13"/>
                <c:pt idx="0">
                  <c:v>Apr-24</c:v>
                </c:pt>
                <c:pt idx="1">
                  <c:v>Apr-25</c:v>
                </c:pt>
                <c:pt idx="2">
                  <c:v>Aug-24</c:v>
                </c:pt>
                <c:pt idx="3">
                  <c:v>Dec-24</c:v>
                </c:pt>
                <c:pt idx="4">
                  <c:v>Feb-25</c:v>
                </c:pt>
                <c:pt idx="5">
                  <c:v>Jan-25</c:v>
                </c:pt>
                <c:pt idx="6">
                  <c:v>Jul-24</c:v>
                </c:pt>
                <c:pt idx="7">
                  <c:v>Jun-24</c:v>
                </c:pt>
                <c:pt idx="8">
                  <c:v>Mar-25</c:v>
                </c:pt>
                <c:pt idx="9">
                  <c:v>May-24</c:v>
                </c:pt>
                <c:pt idx="10">
                  <c:v>Nov-24</c:v>
                </c:pt>
                <c:pt idx="11">
                  <c:v>Oct-24</c:v>
                </c:pt>
                <c:pt idx="12">
                  <c:v>Sep-24</c:v>
                </c:pt>
              </c:strCache>
            </c:strRef>
          </c:cat>
          <c:val>
            <c:numRef>
              <c:f>'RawData'!$U$41:$U$54</c:f>
              <c:numCache>
                <c:formatCode>General</c:formatCode>
                <c:ptCount val="13"/>
                <c:pt idx="0">
                  <c:v>361569.24000000005</c:v>
                </c:pt>
                <c:pt idx="1">
                  <c:v>12848.68</c:v>
                </c:pt>
                <c:pt idx="2">
                  <c:v>100916.99999999999</c:v>
                </c:pt>
                <c:pt idx="3">
                  <c:v>122320.44000000003</c:v>
                </c:pt>
                <c:pt idx="4">
                  <c:v>196089.03999999992</c:v>
                </c:pt>
                <c:pt idx="5">
                  <c:v>238634.39999999994</c:v>
                </c:pt>
                <c:pt idx="6">
                  <c:v>139308.47999999995</c:v>
                </c:pt>
                <c:pt idx="7">
                  <c:v>403750.20000000007</c:v>
                </c:pt>
                <c:pt idx="8">
                  <c:v>335449.17999999988</c:v>
                </c:pt>
                <c:pt idx="9">
                  <c:v>388654.13999999978</c:v>
                </c:pt>
                <c:pt idx="10">
                  <c:v>402700.60000000021</c:v>
                </c:pt>
                <c:pt idx="11">
                  <c:v>199013.36</c:v>
                </c:pt>
                <c:pt idx="12">
                  <c:v>410669.99999999994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8A-43FB-B280-127F6B329F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9197728"/>
        <c:axId val="359202304"/>
      </c:lineChart>
      <c:catAx>
        <c:axId val="35919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>
                <a:lumMod val="15000"/>
                <a:lumOff val="85000"/>
              </a:schemeClr>
            </a:solidFill>
            <a:round/>
            <a:tailEnd type="none" w="med" len="lg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02304"/>
        <c:crosses val="autoZero"/>
        <c:auto val="1"/>
        <c:lblAlgn val="ctr"/>
        <c:lblOffset val="100"/>
        <c:noMultiLvlLbl val="0"/>
      </c:catAx>
      <c:valAx>
        <c:axId val="3592023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59197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38100" cap="flat" cmpd="dbl" algn="ctr">
        <a:solidFill>
          <a:schemeClr val="phClr"/>
        </a:solidFill>
        <a:miter lim="800000"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tx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  <a:alpha val="32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  <a:alpha val="32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tx1"/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tx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2700" cap="rnd"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3175" cap="flat" cmpd="sng" algn="ctr">
        <a:solidFill>
          <a:schemeClr val="tx1">
            <a:lumMod val="15000"/>
            <a:lumOff val="85000"/>
          </a:schemeClr>
        </a:solidFill>
        <a:round/>
        <a:tailEnd type="none" w="med" len="lg"/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7937</xdr:colOff>
      <xdr:row>56</xdr:row>
      <xdr:rowOff>17461</xdr:rowOff>
    </xdr:from>
    <xdr:to>
      <xdr:col>21</xdr:col>
      <xdr:colOff>-1</xdr:colOff>
      <xdr:row>70</xdr:row>
      <xdr:rowOff>174624</xdr:rowOff>
    </xdr:to>
    <xdr:graphicFrame macro="">
      <xdr:nvGraphicFramePr>
        <xdr:cNvPr id="3" name="Total_sales_by_region_chart">
          <a:extLst>
            <a:ext uri="{FF2B5EF4-FFF2-40B4-BE49-F238E27FC236}">
              <a16:creationId xmlns:a16="http://schemas.microsoft.com/office/drawing/2014/main" id="{A918F4B0-C5ED-49FF-B45B-AEAB9F8BA4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408780</xdr:colOff>
      <xdr:row>55</xdr:row>
      <xdr:rowOff>184151</xdr:rowOff>
    </xdr:from>
    <xdr:to>
      <xdr:col>30</xdr:col>
      <xdr:colOff>15875</xdr:colOff>
      <xdr:row>71</xdr:row>
      <xdr:rowOff>15875</xdr:rowOff>
    </xdr:to>
    <xdr:graphicFrame macro="">
      <xdr:nvGraphicFramePr>
        <xdr:cNvPr id="4" name="tot_sales_by_month_chart">
          <a:extLst>
            <a:ext uri="{FF2B5EF4-FFF2-40B4-BE49-F238E27FC236}">
              <a16:creationId xmlns:a16="http://schemas.microsoft.com/office/drawing/2014/main" id="{059698CD-3A0F-4D16-A2C2-F640CCA8D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805656</xdr:colOff>
      <xdr:row>72</xdr:row>
      <xdr:rowOff>17461</xdr:rowOff>
    </xdr:from>
    <xdr:to>
      <xdr:col>20</xdr:col>
      <xdr:colOff>1706562</xdr:colOff>
      <xdr:row>86</xdr:row>
      <xdr:rowOff>174624</xdr:rowOff>
    </xdr:to>
    <xdr:graphicFrame macro="">
      <xdr:nvGraphicFramePr>
        <xdr:cNvPr id="5" name="Sales_by_category_chart">
          <a:extLst>
            <a:ext uri="{FF2B5EF4-FFF2-40B4-BE49-F238E27FC236}">
              <a16:creationId xmlns:a16="http://schemas.microsoft.com/office/drawing/2014/main" id="{DE0264E3-827E-4AD3-8D33-FAC58559D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-1</xdr:rowOff>
    </xdr:from>
    <xdr:to>
      <xdr:col>10</xdr:col>
      <xdr:colOff>0</xdr:colOff>
      <xdr:row>21</xdr:row>
      <xdr:rowOff>23812</xdr:rowOff>
    </xdr:to>
    <xdr:graphicFrame macro="">
      <xdr:nvGraphicFramePr>
        <xdr:cNvPr id="2" name="Total_sales_by_region_chart">
          <a:extLst>
            <a:ext uri="{FF2B5EF4-FFF2-40B4-BE49-F238E27FC236}">
              <a16:creationId xmlns:a16="http://schemas.microsoft.com/office/drawing/2014/main" id="{DD2F2EEF-5671-45B6-A630-2F4F8D7C3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142876</xdr:colOff>
      <xdr:row>4</xdr:row>
      <xdr:rowOff>0</xdr:rowOff>
    </xdr:from>
    <xdr:to>
      <xdr:col>18</xdr:col>
      <xdr:colOff>23813</xdr:colOff>
      <xdr:row>21</xdr:row>
      <xdr:rowOff>23813</xdr:rowOff>
    </xdr:to>
    <xdr:graphicFrame macro="">
      <xdr:nvGraphicFramePr>
        <xdr:cNvPr id="3" name="Sales_by_category_chart">
          <a:extLst>
            <a:ext uri="{FF2B5EF4-FFF2-40B4-BE49-F238E27FC236}">
              <a16:creationId xmlns:a16="http://schemas.microsoft.com/office/drawing/2014/main" id="{C2E5EE53-C9CD-47D9-AA87-E52C9A592E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-1</xdr:rowOff>
    </xdr:from>
    <xdr:to>
      <xdr:col>18</xdr:col>
      <xdr:colOff>15875</xdr:colOff>
      <xdr:row>42</xdr:row>
      <xdr:rowOff>7936</xdr:rowOff>
    </xdr:to>
    <xdr:graphicFrame macro="">
      <xdr:nvGraphicFramePr>
        <xdr:cNvPr id="4" name="tot_sales_by_month_chart">
          <a:extLst>
            <a:ext uri="{FF2B5EF4-FFF2-40B4-BE49-F238E27FC236}">
              <a16:creationId xmlns:a16="http://schemas.microsoft.com/office/drawing/2014/main" id="{9CAA375F-CCCD-455E-85CD-9F338D32F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79.971889236112" createdVersion="7" refreshedVersion="7" minRefreshableVersion="3" recordCount="200" xr:uid="{E32A0B59-FD7E-49C9-9B12-87C5DCC9CED3}">
  <cacheSource type="worksheet">
    <worksheetSource name="RawData"/>
  </cacheSource>
  <cacheFields count="15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 count="200">
        <n v="1036.0899999999999"/>
        <n v="1101.28"/>
        <n v="713.34"/>
        <n v="760.93"/>
        <n v="847"/>
        <n v="965.64"/>
        <n v="1317.53"/>
        <n v="1074.47"/>
        <n v="501.54"/>
        <n v="737.31"/>
        <n v="1572.82"/>
        <n v="1343.13"/>
        <n v="1191.58"/>
        <n v="822.28"/>
        <n v="521.66999999999996"/>
        <n v="1502.93"/>
        <n v="877.58"/>
        <n v="636.70000000000005"/>
        <n v="1506.14"/>
        <n v="645.02"/>
        <n v="953.3"/>
        <n v="388.56"/>
        <n v="743.17"/>
        <n v="706.37"/>
        <n v="925.31"/>
        <n v="1173.1199999999999"/>
        <n v="675.54"/>
        <n v="939.09"/>
        <n v="983.34"/>
        <n v="801.21"/>
        <n v="1450.71"/>
        <n v="1023.21"/>
        <n v="853.72"/>
        <n v="967.89"/>
        <n v="1200.9000000000001"/>
        <n v="472.38"/>
        <n v="840.92"/>
        <n v="1410.06"/>
        <n v="773.09"/>
        <n v="580.42999999999995"/>
        <n v="1151.21"/>
        <n v="1025.98"/>
        <n v="556.41999999999996"/>
        <n v="840.85"/>
        <n v="1227.25"/>
        <n v="856.7"/>
        <n v="1225.42"/>
        <n v="1001.57"/>
        <n v="1186.8499999999999"/>
        <n v="775.45"/>
        <n v="1021.47"/>
        <n v="1226.6199999999999"/>
        <n v="1086.93"/>
        <n v="942.9"/>
        <n v="818.8"/>
        <n v="919.04"/>
        <n v="973.26"/>
        <n v="741.61"/>
        <n v="1248.82"/>
        <n v="1360.36"/>
        <n v="1383.3"/>
        <n v="488.99"/>
        <n v="933.71"/>
        <n v="1005.53"/>
        <n v="1100.0999999999999"/>
        <n v="1034.7"/>
        <n v="876.44"/>
        <n v="1371.34"/>
        <n v="1020.26"/>
        <n v="804.81"/>
        <n v="608.66"/>
        <n v="981.2"/>
        <n v="539.77"/>
        <n v="804.45"/>
        <n v="1526.6"/>
        <n v="1215.26"/>
        <n v="1261.3399999999999"/>
        <n v="518.07000000000005"/>
        <n v="1111.3399999999999"/>
        <n v="1291.47"/>
        <n v="679.71"/>
        <n v="1143.69"/>
        <n v="790.08"/>
        <n v="1070.68"/>
        <n v="1168.8900000000001"/>
        <n v="1335.87"/>
        <n v="873.7"/>
        <n v="1443.98"/>
        <n v="1154.33"/>
        <n v="1264.49"/>
        <n v="1101.55"/>
        <n v="727.73"/>
        <n v="875.41"/>
        <n v="1158.94"/>
        <n v="966.3"/>
        <n v="917.48"/>
        <n v="1172.97"/>
        <n v="1205.82"/>
        <n v="826.93"/>
        <n v="902.19"/>
        <n v="585.97"/>
        <n v="990.19"/>
        <n v="1014.09"/>
        <n v="925.29"/>
        <n v="1286.54"/>
        <n v="961.62"/>
        <n v="1081.1400000000001"/>
        <n v="1923.66"/>
        <n v="728.71"/>
        <n v="1301.8900000000001"/>
        <n v="980.18"/>
        <n v="697.57"/>
        <n v="1193.6099999999999"/>
        <n v="771.02"/>
        <n v="661.09"/>
        <n v="688.83"/>
        <n v="1249.0999999999999"/>
        <n v="1014.22"/>
        <n v="1010.58"/>
        <n v="957.29"/>
        <n v="1077.92"/>
        <n v="1163.01"/>
        <n v="1014.56"/>
        <n v="718.04"/>
        <n v="1277.8499999999999"/>
        <n v="706.73"/>
        <n v="1410.59"/>
        <n v="1350.33"/>
        <n v="919.18"/>
        <n v="258.51"/>
        <n v="1213.48"/>
        <n v="1150.28"/>
        <n v="853.86"/>
        <n v="1061.04"/>
        <n v="894.55"/>
        <n v="833.91"/>
        <n v="820.19"/>
        <n v="511.74"/>
        <n v="806.03"/>
        <n v="1432.47"/>
        <n v="1488.58"/>
        <n v="1231.26"/>
        <n v="1161.67"/>
        <n v="388.23"/>
        <n v="1589.42"/>
        <n v="336.66"/>
        <n v="1353.79"/>
        <n v="662.61"/>
        <n v="309.42"/>
        <n v="884.63"/>
        <n v="745.05"/>
        <n v="870.23"/>
        <n v="862.19"/>
        <n v="1171.18"/>
        <n v="1054.56"/>
        <n v="1681.21"/>
        <n v="379.77"/>
        <n v="1076.33"/>
        <n v="1250.71"/>
        <n v="1118.3399999999999"/>
        <n v="1622.62"/>
        <n v="640.64"/>
        <n v="585.16"/>
        <n v="1109.98"/>
        <n v="1098.08"/>
        <n v="827.25"/>
        <n v="741.88"/>
        <n v="1311.26"/>
        <n v="573.32000000000005"/>
        <n v="1115.22"/>
        <n v="845.84"/>
        <n v="1029.8"/>
        <n v="1189.83"/>
        <n v="704.28"/>
        <n v="1618.22"/>
        <n v="1014.43"/>
        <n v="826.97"/>
        <n v="1022.23"/>
        <n v="1099.69"/>
        <n v="710.52"/>
        <n v="499.18"/>
        <n v="1064.19"/>
        <n v="438.76"/>
        <n v="864.98"/>
        <n v="984.93"/>
        <n v="1493.49"/>
        <n v="689.43"/>
        <n v="682.24"/>
        <n v="458.54"/>
        <n v="1184.25"/>
        <n v="762.14"/>
        <n v="750.71"/>
        <n v="1456.94"/>
        <n v="1093.3800000000001"/>
        <n v="934.27"/>
        <n v="1465.35"/>
        <n v="740.8"/>
        <n v="545.44000000000005"/>
        <n v="997.61"/>
        <n v="928.32"/>
      </sharedItems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0">
      <sharedItems containsSemiMixedTypes="0" containsString="0" containsNumber="1" minValue="64.63" maxValue="769.46" count="200">
        <n v="331.55"/>
        <n v="440.51"/>
        <n v="285.33999999999997"/>
        <n v="161.69999999999999"/>
        <n v="271.04000000000002"/>
        <n v="304.18"/>
        <n v="312.91000000000003"/>
        <n v="300.85000000000002"/>
        <n v="190.59"/>
        <n v="350.22"/>
        <n v="672.38"/>
        <n v="456.66"/>
        <n v="452.8"/>
        <n v="273.41000000000003"/>
        <n v="155.19999999999999"/>
        <n v="300.58999999999997"/>
        <n v="298.38"/>
        <n v="203.74"/>
        <n v="481.96"/>
        <n v="161.26"/>
        <n v="476.65"/>
        <n v="82.57"/>
        <n v="297.27"/>
        <n v="176.59"/>
        <n v="374.75"/>
        <n v="293.27999999999997"/>
        <n v="236.44"/>
        <n v="356.85"/>
        <n v="398.25"/>
        <n v="160.24"/>
        <n v="326.41000000000003"/>
        <n v="388.82"/>
        <n v="253.98"/>
        <n v="217.78"/>
        <n v="513.38"/>
        <n v="151.16"/>
        <n v="359.49"/>
        <n v="468.84"/>
        <n v="229.99"/>
        <n v="197.35"/>
        <n v="414.44"/>
        <n v="369.35"/>
        <n v="212.83"/>
        <n v="302.70999999999998"/>
        <n v="365.11"/>
        <n v="214.18"/>
        <n v="468.72"/>
        <n v="450.71"/>
        <n v="332.32"/>
        <n v="174.48"/>
        <n v="242.6"/>
        <n v="551.98"/>
        <n v="380.43"/>
        <n v="339.44"/>
        <n v="173.99"/>
        <n v="257.33"/>
        <n v="389.3"/>
        <n v="148.32"/>
        <n v="449.58"/>
        <n v="680.18"/>
        <n v="497.99"/>
        <n v="220.05"/>
        <n v="294.12"/>
        <n v="201.11"/>
        <n v="261.27"/>
        <n v="307.82"/>
        <n v="333.05"/>
        <n v="455.97"/>
        <n v="242.31"/>
        <n v="344.06"/>
        <n v="144.56"/>
        <n v="441.54"/>
        <n v="114.7"/>
        <n v="257.42"/>
        <n v="305.32"/>
        <n v="258.24"/>
        <n v="441.47"/>
        <n v="172.26"/>
        <n v="500.1"/>
        <n v="581.16"/>
        <n v="271.88"/>
        <n v="400.29"/>
        <n v="177.77"/>
        <n v="406.86"/>
        <n v="526"/>
        <n v="333.97"/>
        <n v="305.8"/>
        <n v="649.79"/>
        <n v="441.53"/>
        <n v="480.51"/>
        <n v="346.99"/>
        <n v="229.23"/>
        <n v="334.84"/>
        <n v="231.79"/>
        <n v="328.54"/>
        <n v="366.99"/>
        <n v="348.96"/>
        <n v="542.62"/>
        <n v="297.69"/>
        <n v="451.1"/>
        <n v="210.95"/>
        <n v="445.59"/>
        <n v="202.82"/>
        <n v="231.32"/>
        <n v="450.29"/>
        <n v="307.72000000000003"/>
        <n v="367.59"/>
        <n v="769.46"/>
        <n v="327.92"/>
        <n v="553.29999999999995"/>
        <n v="352.86"/>
        <n v="313.91000000000003"/>
        <n v="355.1"/>
        <n v="192.76"/>
        <n v="264.44"/>
        <n v="172.21"/>
        <n v="474.66"/>
        <n v="433.58"/>
        <n v="343.6"/>
        <n v="318.3"/>
        <n v="358.41"/>
        <n v="581.5"/>
        <n v="410.9"/>
        <n v="179.51"/>
        <n v="511.14"/>
        <n v="150.18"/>
        <n v="352.65"/>
        <n v="472.62"/>
        <n v="195.33"/>
        <n v="64.63"/>
        <n v="461.12"/>
        <n v="437.11"/>
        <n v="268.97000000000003"/>
        <n v="265.26"/>
        <n v="178.91"/>
        <n v="356.5"/>
        <n v="229.65"/>
        <n v="121.54"/>
        <n v="268"/>
        <n v="426.16"/>
        <n v="316.32"/>
        <n v="492.5"/>
        <n v="232.33"/>
        <n v="165.97"/>
        <n v="675.5"/>
        <n v="134.66"/>
        <n v="487.36"/>
        <n v="314.74"/>
        <n v="111.39"/>
        <n v="318.47000000000003"/>
        <n v="301.75"/>
        <n v="413.36"/>
        <n v="286.68"/>
        <n v="556.30999999999995"/>
        <n v="332.19"/>
        <n v="336.24"/>
        <n v="180.39"/>
        <n v="484.35"/>
        <n v="562.82000000000005"/>
        <n v="447.34"/>
        <n v="649.04999999999995"/>
        <n v="205"/>
        <n v="263.32"/>
        <n v="443.99"/>
        <n v="395.31"/>
        <n v="335.04"/>
        <n v="333.85"/>
        <n v="531.05999999999995"/>
        <n v="232.19"/>
        <n v="223.04"/>
        <n v="422.92"/>
        <n v="257.45"/>
        <n v="380.75"/>
        <n v="225.37"/>
        <n v="582.55999999999995"/>
        <n v="344.91"/>
        <n v="330.79"/>
        <n v="460"/>
        <n v="439.88"/>
        <n v="255.79"/>
        <n v="159.74"/>
        <n v="404.39"/>
        <n v="187.57"/>
        <n v="410.87"/>
        <n v="275.77999999999997"/>
        <n v="746.74"/>
        <n v="310.24"/>
        <n v="341.12"/>
        <n v="91.71"/>
        <n v="331.59"/>
        <n v="381.07"/>
        <n v="255.24"/>
        <n v="692.05"/>
        <n v="344.41"/>
        <n v="397.06"/>
        <n v="586.14"/>
        <n v="333.36"/>
        <n v="245.45"/>
        <n v="379.09"/>
        <n v="440.95"/>
      </sharedItems>
    </cacheField>
    <cacheField name="Sales_Month" numFmtId="0">
      <sharedItems count="13">
        <s v="Apr-24"/>
        <s v="May-24"/>
        <s v="Jun-24"/>
        <s v="Jul-24"/>
        <s v="Aug-24"/>
        <s v="Sep-24"/>
        <s v="Oct-24"/>
        <s v="Nov-24"/>
        <s v="Dec-24"/>
        <s v="Jan-25"/>
        <s v="Feb-25"/>
        <s v="Mar-25"/>
        <s v="Apr-25"/>
      </sharedItems>
    </cacheField>
    <cacheField name="Month_Total_Sales" numFmtId="0">
      <sharedItems containsSemiMixedTypes="0" containsString="0" containsNumber="1" minValue="3212.17" maxValue="20533.499999999996" count="13">
        <n v="19029.96"/>
        <n v="18507.339999999997"/>
        <n v="20187.509999999998"/>
        <n v="11609.039999999999"/>
        <n v="10091.699999999999"/>
        <n v="20533.499999999996"/>
        <n v="14215.240000000002"/>
        <n v="20135.030000000002"/>
        <n v="11120.04"/>
        <n v="14914.650000000001"/>
        <n v="14006.359999999999"/>
        <n v="17655.219999999998"/>
        <n v="3212.17"/>
      </sharedItems>
    </cacheField>
    <cacheField name="Timestamp" numFmtId="22">
      <sharedItems containsSemiMixedTypes="0" containsNonDate="0" containsDate="1" containsString="0" minDate="2025-11-18T22:58:38" maxDate="2025-11-18T22:58:38"/>
    </cacheField>
    <cacheField name="Estimate Profit" numFmtId="0">
      <sharedItems containsSemiMixedTypes="0" containsString="0" containsNumber="1" minValue="89.668231018130029" maxValue="673.8960797612383"/>
    </cacheField>
    <cacheField name="Total_Profit_Per_Customer" numFmtId="0">
      <sharedItems containsSemiMixedTypes="0" containsString="0" containsNumber="1" minValue="214.18" maxValue="7077.9199999999992"/>
    </cacheField>
    <cacheField name="High_Value_Customer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9"/>
    <s v="James Davis"/>
    <x v="0"/>
    <x v="0"/>
    <x v="0"/>
    <n v="4"/>
    <n v="0.2"/>
    <d v="2024-04-10T00:00:00"/>
    <x v="0"/>
    <x v="0"/>
    <x v="0"/>
    <d v="2025-11-18T22:58:38"/>
    <n v="362.48683031889334"/>
    <n v="2122.8200000000002"/>
    <s v=""/>
  </r>
  <r>
    <s v="CUST012"/>
    <s v="Robert Anderson"/>
    <x v="0"/>
    <x v="1"/>
    <x v="1"/>
    <n v="3"/>
    <n v="0.2"/>
    <d v="2024-04-11T00:00:00"/>
    <x v="1"/>
    <x v="0"/>
    <x v="0"/>
    <d v="2025-11-18T22:58:38"/>
    <n v="385.35913218933342"/>
    <n v="2765.53"/>
    <s v=""/>
  </r>
  <r>
    <s v="CUST017"/>
    <s v="James Taylor"/>
    <x v="1"/>
    <x v="0"/>
    <x v="2"/>
    <n v="17"/>
    <n v="0"/>
    <d v="2024-04-14T00:00:00"/>
    <x v="2"/>
    <x v="0"/>
    <x v="0"/>
    <d v="2025-11-18T22:58:38"/>
    <n v="249.24806012891761"/>
    <n v="2203.6800000000003"/>
    <s v=""/>
  </r>
  <r>
    <s v="CUST005"/>
    <s v="Robert Anderson"/>
    <x v="2"/>
    <x v="2"/>
    <x v="3"/>
    <n v="4"/>
    <n v="0.15"/>
    <d v="2024-04-14T00:00:00"/>
    <x v="3"/>
    <x v="0"/>
    <x v="0"/>
    <d v="2025-11-18T22:58:38"/>
    <n v="265.94529660712345"/>
    <n v="2765.53"/>
    <s v=""/>
  </r>
  <r>
    <s v="CUST030"/>
    <s v="James Wilson"/>
    <x v="3"/>
    <x v="0"/>
    <x v="4"/>
    <n v="12"/>
    <n v="0.2"/>
    <d v="2024-04-15T00:00:00"/>
    <x v="4"/>
    <x v="0"/>
    <x v="0"/>
    <d v="2025-11-18T22:58:38"/>
    <n v="296.14347151107768"/>
    <n v="7077.9199999999992"/>
    <s v="High Value"/>
  </r>
  <r>
    <s v="CUST007"/>
    <s v="Michael Anderson"/>
    <x v="3"/>
    <x v="3"/>
    <x v="5"/>
    <n v="8"/>
    <n v="0.1"/>
    <d v="2024-04-16T00:00:00"/>
    <x v="5"/>
    <x v="0"/>
    <x v="0"/>
    <d v="2025-11-18T22:58:38"/>
    <n v="337.76902595054696"/>
    <n v="2535.5100000000002"/>
    <s v=""/>
  </r>
  <r>
    <s v="CUST001"/>
    <s v="Linda Wilson"/>
    <x v="0"/>
    <x v="2"/>
    <x v="6"/>
    <n v="12"/>
    <n v="0.05"/>
    <d v="2024-04-16T00:00:00"/>
    <x v="6"/>
    <x v="0"/>
    <x v="0"/>
    <d v="2025-11-18T22:58:38"/>
    <n v="461.23173963652863"/>
    <n v="3241.1099999999997"/>
    <s v=""/>
  </r>
  <r>
    <s v="CUST026"/>
    <s v="Mary Davis"/>
    <x v="1"/>
    <x v="3"/>
    <x v="7"/>
    <n v="6"/>
    <n v="0.2"/>
    <d v="2024-04-19T00:00:00"/>
    <x v="7"/>
    <x v="0"/>
    <x v="0"/>
    <d v="2025-11-18T22:58:38"/>
    <n v="375.95268314582216"/>
    <n v="6553.7899999999991"/>
    <s v="High Value"/>
  </r>
  <r>
    <s v="CUST009"/>
    <s v="Linda Jackson"/>
    <x v="4"/>
    <x v="0"/>
    <x v="8"/>
    <n v="11"/>
    <n v="0.05"/>
    <d v="2024-04-19T00:00:00"/>
    <x v="8"/>
    <x v="0"/>
    <x v="0"/>
    <d v="2025-11-18T22:58:38"/>
    <n v="174.93676182919066"/>
    <n v="1386.78"/>
    <s v=""/>
  </r>
  <r>
    <s v="CUST010"/>
    <s v="David Thomas"/>
    <x v="4"/>
    <x v="1"/>
    <x v="9"/>
    <n v="2"/>
    <n v="0.05"/>
    <d v="2024-04-19T00:00:00"/>
    <x v="9"/>
    <x v="0"/>
    <x v="0"/>
    <d v="2025-11-18T22:58:38"/>
    <n v="257.65807816595463"/>
    <n v="2919.45"/>
    <s v=""/>
  </r>
  <r>
    <s v="CUST014"/>
    <s v="Emma Davis"/>
    <x v="0"/>
    <x v="4"/>
    <x v="10"/>
    <n v="6"/>
    <n v="0.05"/>
    <d v="2024-04-20T00:00:00"/>
    <x v="10"/>
    <x v="0"/>
    <x v="0"/>
    <d v="2025-11-18T22:58:38"/>
    <n v="550.80176486286143"/>
    <n v="3846.93"/>
    <s v="High Value"/>
  </r>
  <r>
    <s v="CUST014"/>
    <s v="David Thomas"/>
    <x v="4"/>
    <x v="0"/>
    <x v="11"/>
    <n v="14"/>
    <n v="0.15"/>
    <d v="2024-04-22T00:00:00"/>
    <x v="11"/>
    <x v="0"/>
    <x v="0"/>
    <d v="2025-11-18T22:58:38"/>
    <n v="470.21365293432382"/>
    <n v="2919.45"/>
    <s v=""/>
  </r>
  <r>
    <s v="CUST007"/>
    <s v="Michael Anderson"/>
    <x v="4"/>
    <x v="0"/>
    <x v="12"/>
    <n v="14"/>
    <n v="0.05"/>
    <d v="2024-04-24T00:00:00"/>
    <x v="12"/>
    <x v="0"/>
    <x v="0"/>
    <d v="2025-11-18T22:58:38"/>
    <n v="417.04142792335296"/>
    <n v="2535.5100000000002"/>
    <s v=""/>
  </r>
  <r>
    <s v="CUST023"/>
    <s v="Robert Anderson"/>
    <x v="0"/>
    <x v="3"/>
    <x v="13"/>
    <n v="7"/>
    <n v="0.05"/>
    <d v="2024-04-24T00:00:00"/>
    <x v="13"/>
    <x v="0"/>
    <x v="0"/>
    <d v="2025-11-18T22:58:38"/>
    <n v="287.4703114828942"/>
    <n v="2765.53"/>
    <s v=""/>
  </r>
  <r>
    <s v="CUST029"/>
    <s v="David Smith"/>
    <x v="3"/>
    <x v="3"/>
    <x v="14"/>
    <n v="15"/>
    <n v="0.15"/>
    <d v="2024-04-27T00:00:00"/>
    <x v="14"/>
    <x v="0"/>
    <x v="0"/>
    <d v="2025-11-18T22:58:38"/>
    <n v="181.99949287155846"/>
    <n v="569.64"/>
    <s v=""/>
  </r>
  <r>
    <s v="CUST005"/>
    <s v="Sarah Anderson"/>
    <x v="2"/>
    <x v="2"/>
    <x v="15"/>
    <n v="14"/>
    <n v="0.2"/>
    <d v="2024-04-28T00:00:00"/>
    <x v="15"/>
    <x v="0"/>
    <x v="0"/>
    <d v="2025-11-18T22:58:38"/>
    <n v="526.2804398479044"/>
    <n v="2060.81"/>
    <s v=""/>
  </r>
  <r>
    <s v="CUST008"/>
    <s v="Robert Anderson"/>
    <x v="2"/>
    <x v="0"/>
    <x v="16"/>
    <n v="10"/>
    <n v="0.15"/>
    <d v="2024-04-29T00:00:00"/>
    <x v="16"/>
    <x v="0"/>
    <x v="0"/>
    <d v="2025-11-18T22:58:38"/>
    <n v="306.87264763008454"/>
    <n v="2765.53"/>
    <s v=""/>
  </r>
  <r>
    <s v="CUST001"/>
    <s v="Lisa Thomas"/>
    <x v="0"/>
    <x v="0"/>
    <x v="17"/>
    <n v="4"/>
    <n v="0.2"/>
    <d v="2024-04-29T00:00:00"/>
    <x v="17"/>
    <x v="0"/>
    <x v="0"/>
    <d v="2025-11-18T22:58:38"/>
    <n v="222.35845719364343"/>
    <n v="3074.45"/>
    <s v=""/>
  </r>
  <r>
    <s v="CUST006"/>
    <s v="Mary Jackson"/>
    <x v="0"/>
    <x v="0"/>
    <x v="18"/>
    <n v="13"/>
    <n v="0.2"/>
    <d v="2024-04-30T00:00:00"/>
    <x v="18"/>
    <x v="0"/>
    <x v="0"/>
    <d v="2025-11-18T22:58:38"/>
    <n v="527.40668757001072"/>
    <n v="2339.64"/>
    <s v=""/>
  </r>
  <r>
    <s v="CUST026"/>
    <s v="Mary Davis"/>
    <x v="4"/>
    <x v="2"/>
    <x v="19"/>
    <n v="4"/>
    <n v="0"/>
    <d v="2024-05-02T00:00:00"/>
    <x v="19"/>
    <x v="1"/>
    <x v="1"/>
    <d v="2025-11-18T22:58:38"/>
    <n v="225.27757901542682"/>
    <n v="6553.7899999999991"/>
    <s v="High Value"/>
  </r>
  <r>
    <s v="CUST007"/>
    <s v="Lisa Davis"/>
    <x v="2"/>
    <x v="1"/>
    <x v="20"/>
    <n v="11"/>
    <n v="0"/>
    <d v="2024-05-03T00:00:00"/>
    <x v="20"/>
    <x v="1"/>
    <x v="1"/>
    <d v="2025-11-18T22:58:38"/>
    <n v="333.43946305621915"/>
    <n v="2918.14"/>
    <s v=""/>
  </r>
  <r>
    <s v="CUST022"/>
    <s v="Robert Anderson"/>
    <x v="3"/>
    <x v="2"/>
    <x v="21"/>
    <n v="14"/>
    <n v="0.15"/>
    <d v="2024-05-04T00:00:00"/>
    <x v="21"/>
    <x v="1"/>
    <x v="1"/>
    <d v="2025-11-18T22:58:38"/>
    <n v="135.29705228290572"/>
    <n v="2765.53"/>
    <s v=""/>
  </r>
  <r>
    <s v="CUST019"/>
    <s v="Mary Davis"/>
    <x v="0"/>
    <x v="0"/>
    <x v="22"/>
    <n v="9"/>
    <n v="0"/>
    <d v="2024-05-04T00:00:00"/>
    <x v="22"/>
    <x v="1"/>
    <x v="1"/>
    <d v="2025-11-18T22:58:38"/>
    <n v="259.71409425677808"/>
    <n v="6553.7899999999991"/>
    <s v="High Value"/>
  </r>
  <r>
    <s v="CUST023"/>
    <s v="Mary Davis"/>
    <x v="4"/>
    <x v="2"/>
    <x v="23"/>
    <n v="6"/>
    <n v="0"/>
    <d v="2024-05-04T00:00:00"/>
    <x v="23"/>
    <x v="1"/>
    <x v="1"/>
    <d v="2025-11-18T22:58:38"/>
    <n v="246.8025938911976"/>
    <n v="6553.7899999999991"/>
    <s v="High Value"/>
  </r>
  <r>
    <s v="CUST012"/>
    <s v="Mary Davis"/>
    <x v="4"/>
    <x v="4"/>
    <x v="24"/>
    <n v="8"/>
    <n v="0.1"/>
    <d v="2024-05-06T00:00:00"/>
    <x v="24"/>
    <x v="1"/>
    <x v="1"/>
    <d v="2025-11-18T22:58:38"/>
    <n v="323.61900394663769"/>
    <n v="6553.7899999999991"/>
    <s v="High Value"/>
  </r>
  <r>
    <s v="CUST010"/>
    <s v="Linda Brown"/>
    <x v="2"/>
    <x v="2"/>
    <x v="25"/>
    <n v="18"/>
    <n v="0"/>
    <d v="2024-05-06T00:00:00"/>
    <x v="25"/>
    <x v="1"/>
    <x v="1"/>
    <d v="2025-11-18T22:58:38"/>
    <n v="410.56462638127095"/>
    <n v="1885.71"/>
    <s v=""/>
  </r>
  <r>
    <s v="CUST030"/>
    <s v="John Brown"/>
    <x v="3"/>
    <x v="3"/>
    <x v="26"/>
    <n v="17"/>
    <n v="0"/>
    <d v="2024-05-08T00:00:00"/>
    <x v="26"/>
    <x v="1"/>
    <x v="1"/>
    <d v="2025-11-18T22:58:38"/>
    <n v="235.98570377514196"/>
    <n v="410.91999999999996"/>
    <s v=""/>
  </r>
  <r>
    <s v="CUST007"/>
    <s v="Robert Anderson"/>
    <x v="4"/>
    <x v="0"/>
    <x v="27"/>
    <n v="2"/>
    <n v="0.05"/>
    <d v="2024-05-10T00:00:00"/>
    <x v="27"/>
    <x v="1"/>
    <x v="1"/>
    <d v="2025-11-18T22:58:38"/>
    <n v="328.4537994639665"/>
    <n v="2765.53"/>
    <s v=""/>
  </r>
  <r>
    <s v="CUST028"/>
    <s v="Linda Taylor"/>
    <x v="1"/>
    <x v="4"/>
    <x v="28"/>
    <n v="19"/>
    <n v="0.1"/>
    <d v="2024-05-14T00:00:00"/>
    <x v="28"/>
    <x v="1"/>
    <x v="1"/>
    <d v="2025-11-18T22:58:38"/>
    <n v="343.97917694160066"/>
    <n v="2912.54"/>
    <s v=""/>
  </r>
  <r>
    <s v="CUST028"/>
    <s v="James Wilson"/>
    <x v="2"/>
    <x v="2"/>
    <x v="29"/>
    <n v="3"/>
    <n v="0.2"/>
    <d v="2024-05-14T00:00:00"/>
    <x v="29"/>
    <x v="1"/>
    <x v="1"/>
    <d v="2025-11-18T22:58:38"/>
    <n v="280.07777581162304"/>
    <n v="7077.9199999999992"/>
    <s v="High Value"/>
  </r>
  <r>
    <s v="CUST025"/>
    <s v="David Brown"/>
    <x v="3"/>
    <x v="2"/>
    <x v="30"/>
    <n v="5"/>
    <n v="0.1"/>
    <d v="2024-05-15T00:00:00"/>
    <x v="30"/>
    <x v="1"/>
    <x v="1"/>
    <d v="2025-11-18T22:58:38"/>
    <n v="507.95874014435509"/>
    <n v="4061.91"/>
    <s v="High Value"/>
  </r>
  <r>
    <s v="CUST022"/>
    <s v="David Davis"/>
    <x v="4"/>
    <x v="0"/>
    <x v="31"/>
    <n v="18"/>
    <n v="0.05"/>
    <d v="2024-05-16T00:00:00"/>
    <x v="31"/>
    <x v="1"/>
    <x v="1"/>
    <d v="2025-11-18T22:58:38"/>
    <n v="357.96780519094023"/>
    <n v="1273.1899999999998"/>
    <s v=""/>
  </r>
  <r>
    <s v="CUST001"/>
    <s v="Mary Jackson"/>
    <x v="0"/>
    <x v="3"/>
    <x v="32"/>
    <n v="5"/>
    <n v="0.15"/>
    <d v="2024-05-16T00:00:00"/>
    <x v="32"/>
    <x v="1"/>
    <x v="1"/>
    <d v="2025-11-18T22:58:38"/>
    <n v="298.50122375174891"/>
    <n v="2339.64"/>
    <s v=""/>
  </r>
  <r>
    <s v="CUST021"/>
    <s v="Sarah Anderson"/>
    <x v="2"/>
    <x v="2"/>
    <x v="33"/>
    <n v="10"/>
    <n v="0.1"/>
    <d v="2024-05-17T00:00:00"/>
    <x v="33"/>
    <x v="1"/>
    <x v="1"/>
    <d v="2025-11-18T22:58:38"/>
    <n v="338.55845192398601"/>
    <n v="2060.81"/>
    <s v=""/>
  </r>
  <r>
    <s v="CUST015"/>
    <s v="Linda Taylor"/>
    <x v="3"/>
    <x v="4"/>
    <x v="34"/>
    <n v="14"/>
    <n v="0.05"/>
    <d v="2024-05-17T00:00:00"/>
    <x v="34"/>
    <x v="1"/>
    <x v="1"/>
    <d v="2025-11-18T22:58:38"/>
    <n v="420.31140573333153"/>
    <n v="2912.54"/>
    <s v=""/>
  </r>
  <r>
    <s v="CUST012"/>
    <s v="Michael Anderson"/>
    <x v="0"/>
    <x v="0"/>
    <x v="35"/>
    <n v="12"/>
    <n v="0.2"/>
    <d v="2024-05-17T00:00:00"/>
    <x v="35"/>
    <x v="1"/>
    <x v="1"/>
    <d v="2025-11-18T22:58:38"/>
    <n v="164.70580121342087"/>
    <n v="2535.5100000000002"/>
    <s v=""/>
  </r>
  <r>
    <s v="CUST019"/>
    <s v="David Brown"/>
    <x v="1"/>
    <x v="4"/>
    <x v="36"/>
    <n v="9"/>
    <n v="0.05"/>
    <d v="2024-05-17T00:00:00"/>
    <x v="36"/>
    <x v="1"/>
    <x v="1"/>
    <d v="2025-11-18T22:58:38"/>
    <n v="294.01026710285129"/>
    <n v="4061.91"/>
    <s v="High Value"/>
  </r>
  <r>
    <s v="CUST028"/>
    <s v="Lisa Davis"/>
    <x v="4"/>
    <x v="3"/>
    <x v="37"/>
    <n v="11"/>
    <n v="0.05"/>
    <d v="2024-05-22T00:00:00"/>
    <x v="37"/>
    <x v="1"/>
    <x v="1"/>
    <d v="2025-11-18T22:58:38"/>
    <n v="493.69644422422328"/>
    <n v="2918.14"/>
    <s v=""/>
  </r>
  <r>
    <s v="CUST008"/>
    <s v="Mary Wilson"/>
    <x v="4"/>
    <x v="3"/>
    <x v="38"/>
    <n v="13"/>
    <n v="0.15"/>
    <d v="2024-05-22T00:00:00"/>
    <x v="38"/>
    <x v="1"/>
    <x v="1"/>
    <d v="2025-11-18T22:58:38"/>
    <n v="270.21170542357618"/>
    <n v="2285.64"/>
    <s v=""/>
  </r>
  <r>
    <s v="CUST016"/>
    <s v="Emma Wilson"/>
    <x v="1"/>
    <x v="0"/>
    <x v="39"/>
    <n v="19"/>
    <n v="0.15"/>
    <d v="2024-05-23T00:00:00"/>
    <x v="39"/>
    <x v="1"/>
    <x v="1"/>
    <d v="2025-11-18T22:58:38"/>
    <n v="202.61579073790384"/>
    <n v="2718.8399999999997"/>
    <s v=""/>
  </r>
  <r>
    <s v="CUST005"/>
    <s v="David Smith"/>
    <x v="2"/>
    <x v="0"/>
    <x v="40"/>
    <n v="15"/>
    <n v="0.1"/>
    <d v="2024-06-02T00:00:00"/>
    <x v="40"/>
    <x v="2"/>
    <x v="2"/>
    <d v="2025-11-18T22:58:38"/>
    <n v="402.87737167991588"/>
    <n v="569.64"/>
    <s v=""/>
  </r>
  <r>
    <s v="CUST028"/>
    <s v="James Wilson"/>
    <x v="4"/>
    <x v="4"/>
    <x v="41"/>
    <n v="5"/>
    <n v="0.2"/>
    <d v="2024-06-04T00:00:00"/>
    <x v="41"/>
    <x v="2"/>
    <x v="2"/>
    <d v="2025-11-18T22:58:38"/>
    <n v="358.93967627824071"/>
    <n v="7077.9199999999992"/>
    <s v="High Value"/>
  </r>
  <r>
    <s v="CUST023"/>
    <s v="David Davis"/>
    <x v="1"/>
    <x v="4"/>
    <x v="42"/>
    <n v="11"/>
    <n v="0.15"/>
    <d v="2024-06-04T00:00:00"/>
    <x v="42"/>
    <x v="2"/>
    <x v="2"/>
    <d v="2025-11-18T22:58:38"/>
    <n v="194.19173846133896"/>
    <n v="1273.1899999999998"/>
    <s v=""/>
  </r>
  <r>
    <s v="CUST021"/>
    <s v="James Wilson"/>
    <x v="4"/>
    <x v="0"/>
    <x v="43"/>
    <n v="19"/>
    <n v="0.1"/>
    <d v="2024-06-05T00:00:00"/>
    <x v="43"/>
    <x v="2"/>
    <x v="2"/>
    <d v="2025-11-18T22:58:38"/>
    <n v="293.98570718367768"/>
    <n v="7077.9199999999992"/>
    <s v="High Value"/>
  </r>
  <r>
    <s v="CUST026"/>
    <s v="Emma Wilson"/>
    <x v="3"/>
    <x v="3"/>
    <x v="44"/>
    <n v="12"/>
    <n v="0.15"/>
    <d v="2024-06-05T00:00:00"/>
    <x v="44"/>
    <x v="2"/>
    <x v="2"/>
    <d v="2025-11-18T22:58:38"/>
    <n v="429.55646102227297"/>
    <n v="2718.8399999999997"/>
    <s v=""/>
  </r>
  <r>
    <s v="CUST017"/>
    <s v="Linda Davis"/>
    <x v="4"/>
    <x v="2"/>
    <x v="45"/>
    <n v="2"/>
    <n v="0"/>
    <d v="2024-06-06T00:00:00"/>
    <x v="45"/>
    <x v="2"/>
    <x v="2"/>
    <d v="2025-11-18T22:58:38"/>
    <n v="299.54677459657034"/>
    <n v="214.18"/>
    <s v=""/>
  </r>
  <r>
    <s v="CUST025"/>
    <s v="David Davis"/>
    <x v="4"/>
    <x v="4"/>
    <x v="46"/>
    <n v="8"/>
    <n v="0.15"/>
    <d v="2024-06-06T00:00:00"/>
    <x v="46"/>
    <x v="2"/>
    <x v="2"/>
    <d v="2025-11-18T22:58:38"/>
    <n v="428.91439456387593"/>
    <n v="1273.1899999999998"/>
    <s v=""/>
  </r>
  <r>
    <s v="CUST011"/>
    <s v="Mary Davis"/>
    <x v="3"/>
    <x v="4"/>
    <x v="47"/>
    <n v="12"/>
    <n v="0"/>
    <d v="2024-06-07T00:00:00"/>
    <x v="47"/>
    <x v="2"/>
    <x v="2"/>
    <d v="2025-11-18T22:58:38"/>
    <n v="350.37528160639778"/>
    <n v="6553.7899999999991"/>
    <s v="High Value"/>
  </r>
  <r>
    <s v="CUST021"/>
    <s v="Michael Anderson"/>
    <x v="1"/>
    <x v="3"/>
    <x v="48"/>
    <n v="19"/>
    <n v="0.2"/>
    <d v="2024-06-08T00:00:00"/>
    <x v="48"/>
    <x v="2"/>
    <x v="2"/>
    <d v="2025-11-18T22:58:38"/>
    <n v="415.38187909919003"/>
    <n v="2535.5100000000002"/>
    <s v=""/>
  </r>
  <r>
    <s v="CUST008"/>
    <s v="John Brown"/>
    <x v="2"/>
    <x v="2"/>
    <x v="49"/>
    <n v="6"/>
    <n v="0.1"/>
    <d v="2024-06-14T00:00:00"/>
    <x v="49"/>
    <x v="2"/>
    <x v="2"/>
    <d v="2025-11-18T22:58:38"/>
    <n v="271.03972555571664"/>
    <n v="410.91999999999996"/>
    <s v=""/>
  </r>
  <r>
    <s v="CUST007"/>
    <s v="Linda Jackson"/>
    <x v="2"/>
    <x v="2"/>
    <x v="50"/>
    <n v="6"/>
    <n v="0.05"/>
    <d v="2024-06-18T00:00:00"/>
    <x v="50"/>
    <x v="2"/>
    <x v="2"/>
    <d v="2025-11-18T22:58:38"/>
    <n v="357.35731577148067"/>
    <n v="1386.78"/>
    <s v=""/>
  </r>
  <r>
    <s v="CUST015"/>
    <s v="James Wilson"/>
    <x v="2"/>
    <x v="1"/>
    <x v="51"/>
    <n v="7"/>
    <n v="0.1"/>
    <d v="2024-06-20T00:00:00"/>
    <x v="51"/>
    <x v="2"/>
    <x v="2"/>
    <d v="2025-11-18T22:58:38"/>
    <n v="429.33542174971001"/>
    <n v="7077.9199999999992"/>
    <s v="High Value"/>
  </r>
  <r>
    <s v="CUST030"/>
    <s v="Sarah Davis"/>
    <x v="2"/>
    <x v="3"/>
    <x v="52"/>
    <n v="2"/>
    <n v="0"/>
    <d v="2024-06-21T00:00:00"/>
    <x v="52"/>
    <x v="2"/>
    <x v="2"/>
    <d v="2025-11-18T22:58:38"/>
    <n v="380.32434875873344"/>
    <n v="2039.74"/>
    <s v=""/>
  </r>
  <r>
    <s v="CUST002"/>
    <s v="Lisa Davis"/>
    <x v="0"/>
    <x v="0"/>
    <x v="53"/>
    <n v="18"/>
    <n v="0.1"/>
    <d v="2024-06-23T00:00:00"/>
    <x v="53"/>
    <x v="2"/>
    <x v="2"/>
    <d v="2025-11-18T22:58:38"/>
    <n v="329.79056077898991"/>
    <n v="2918.14"/>
    <s v=""/>
  </r>
  <r>
    <s v="CUST009"/>
    <s v="Emma Davis"/>
    <x v="3"/>
    <x v="2"/>
    <x v="54"/>
    <n v="15"/>
    <n v="0.15"/>
    <d v="2024-06-25T00:00:00"/>
    <x v="54"/>
    <x v="2"/>
    <x v="2"/>
    <d v="2025-11-18T22:58:38"/>
    <n v="286.24933264397521"/>
    <n v="3846.93"/>
    <s v="High Value"/>
  </r>
  <r>
    <s v="CUST005"/>
    <s v="Robert Anderson"/>
    <x v="2"/>
    <x v="3"/>
    <x v="55"/>
    <n v="10"/>
    <n v="0.2"/>
    <d v="2024-06-25T00:00:00"/>
    <x v="55"/>
    <x v="2"/>
    <x v="2"/>
    <d v="2025-11-18T22:58:38"/>
    <n v="321.41913690065428"/>
    <n v="2765.53"/>
    <s v=""/>
  </r>
  <r>
    <s v="CUST030"/>
    <s v="Emma Taylor"/>
    <x v="4"/>
    <x v="0"/>
    <x v="56"/>
    <n v="11"/>
    <n v="0"/>
    <d v="2024-06-27T00:00:00"/>
    <x v="56"/>
    <x v="2"/>
    <x v="2"/>
    <d v="2025-11-18T22:58:38"/>
    <n v="340.44254858059384"/>
    <n v="1909.5700000000002"/>
    <s v=""/>
  </r>
  <r>
    <s v="CUST029"/>
    <s v="Sarah Davis"/>
    <x v="3"/>
    <x v="2"/>
    <x v="57"/>
    <n v="1"/>
    <n v="0.2"/>
    <d v="2024-06-28T00:00:00"/>
    <x v="57"/>
    <x v="2"/>
    <x v="2"/>
    <d v="2025-11-18T22:58:38"/>
    <n v="259.16675891519372"/>
    <n v="2039.74"/>
    <s v=""/>
  </r>
  <r>
    <s v="CUST003"/>
    <s v="Emma Davis"/>
    <x v="3"/>
    <x v="0"/>
    <x v="58"/>
    <n v="2"/>
    <n v="0.1"/>
    <d v="2024-06-30T00:00:00"/>
    <x v="58"/>
    <x v="2"/>
    <x v="2"/>
    <d v="2025-11-18T22:58:38"/>
    <n v="437.12442468764175"/>
    <n v="3846.93"/>
    <s v="High Value"/>
  </r>
  <r>
    <s v="CUST012"/>
    <s v="Mary Wilson"/>
    <x v="0"/>
    <x v="1"/>
    <x v="59"/>
    <n v="17"/>
    <n v="0"/>
    <d v="2024-06-30T00:00:00"/>
    <x v="59"/>
    <x v="2"/>
    <x v="2"/>
    <d v="2025-11-18T22:58:38"/>
    <n v="476.2589016109257"/>
    <n v="2285.64"/>
    <s v=""/>
  </r>
  <r>
    <s v="CUST021"/>
    <s v="Mary Davis"/>
    <x v="1"/>
    <x v="0"/>
    <x v="60"/>
    <n v="8"/>
    <n v="0.1"/>
    <d v="2024-07-05T00:00:00"/>
    <x v="60"/>
    <x v="3"/>
    <x v="3"/>
    <d v="2025-11-18T22:58:38"/>
    <n v="484.30753798012182"/>
    <n v="6553.7899999999991"/>
    <s v="High Value"/>
  </r>
  <r>
    <s v="CUST010"/>
    <s v="David Brown"/>
    <x v="4"/>
    <x v="4"/>
    <x v="61"/>
    <n v="9"/>
    <n v="0"/>
    <d v="2024-07-06T00:00:00"/>
    <x v="61"/>
    <x v="3"/>
    <x v="3"/>
    <d v="2025-11-18T22:58:38"/>
    <n v="170.53351917734187"/>
    <n v="4061.91"/>
    <s v="High Value"/>
  </r>
  <r>
    <s v="CUST026"/>
    <s v="Mary Davis"/>
    <x v="1"/>
    <x v="3"/>
    <x v="62"/>
    <n v="17"/>
    <n v="0.1"/>
    <d v="2024-07-08T00:00:00"/>
    <x v="62"/>
    <x v="3"/>
    <x v="3"/>
    <d v="2025-11-18T22:58:38"/>
    <n v="326.56619424747674"/>
    <n v="6553.7899999999991"/>
    <s v="High Value"/>
  </r>
  <r>
    <s v="CUST003"/>
    <s v="James Davis"/>
    <x v="0"/>
    <x v="2"/>
    <x v="63"/>
    <n v="17"/>
    <n v="0.2"/>
    <d v="2024-07-08T00:00:00"/>
    <x v="63"/>
    <x v="3"/>
    <x v="3"/>
    <d v="2025-11-18T22:58:38"/>
    <n v="351.7646713196504"/>
    <n v="2122.8200000000002"/>
    <s v=""/>
  </r>
  <r>
    <s v="CUST029"/>
    <s v="Emma Wilson"/>
    <x v="2"/>
    <x v="2"/>
    <x v="64"/>
    <n v="5"/>
    <n v="0.05"/>
    <d v="2024-07-09T00:00:00"/>
    <x v="64"/>
    <x v="3"/>
    <x v="3"/>
    <d v="2025-11-18T22:58:38"/>
    <n v="384.9451221232631"/>
    <n v="2718.8399999999997"/>
    <s v=""/>
  </r>
  <r>
    <s v="CUST003"/>
    <s v="James Wilson"/>
    <x v="3"/>
    <x v="3"/>
    <x v="65"/>
    <n v="15"/>
    <n v="0.15"/>
    <d v="2024-07-14T00:00:00"/>
    <x v="65"/>
    <x v="3"/>
    <x v="3"/>
    <d v="2025-11-18T22:58:38"/>
    <n v="361.99914049530219"/>
    <n v="7077.9199999999992"/>
    <s v="High Value"/>
  </r>
  <r>
    <s v="CUST002"/>
    <s v="Mary Davis"/>
    <x v="2"/>
    <x v="0"/>
    <x v="66"/>
    <n v="12"/>
    <n v="0.05"/>
    <d v="2024-07-15T00:00:00"/>
    <x v="66"/>
    <x v="3"/>
    <x v="3"/>
    <d v="2025-11-18T22:58:38"/>
    <n v="306.47267180354208"/>
    <n v="6553.7899999999991"/>
    <s v="High Value"/>
  </r>
  <r>
    <s v="CUST020"/>
    <s v="David Brown"/>
    <x v="0"/>
    <x v="3"/>
    <x v="67"/>
    <n v="5"/>
    <n v="0.05"/>
    <d v="2024-07-15T00:00:00"/>
    <x v="67"/>
    <x v="3"/>
    <x v="3"/>
    <d v="2025-11-18T22:58:38"/>
    <n v="480.11130036130817"/>
    <n v="4061.91"/>
    <s v="High Value"/>
  </r>
  <r>
    <s v="CUST021"/>
    <s v="Mary Jackson"/>
    <x v="3"/>
    <x v="2"/>
    <x v="68"/>
    <n v="11"/>
    <n v="0.05"/>
    <d v="2024-07-21T00:00:00"/>
    <x v="68"/>
    <x v="3"/>
    <x v="3"/>
    <d v="2025-11-18T22:58:38"/>
    <n v="356.9327800257646"/>
    <n v="2339.64"/>
    <s v=""/>
  </r>
  <r>
    <s v="CUST008"/>
    <s v="James Davis"/>
    <x v="4"/>
    <x v="4"/>
    <x v="69"/>
    <n v="1"/>
    <n v="0.05"/>
    <d v="2024-07-29T00:00:00"/>
    <x v="69"/>
    <x v="3"/>
    <x v="3"/>
    <d v="2025-11-18T22:58:38"/>
    <n v="281.34085736912544"/>
    <n v="2122.8200000000002"/>
    <s v=""/>
  </r>
  <r>
    <s v="CUST030"/>
    <s v="David Brown"/>
    <x v="4"/>
    <x v="2"/>
    <x v="70"/>
    <n v="1"/>
    <n v="0.05"/>
    <d v="2024-07-30T00:00:00"/>
    <x v="70"/>
    <x v="3"/>
    <x v="3"/>
    <d v="2025-11-18T22:58:38"/>
    <n v="212.52045528465217"/>
    <n v="4061.91"/>
    <s v="High Value"/>
  </r>
  <r>
    <s v="CUST020"/>
    <s v="Linda Moore"/>
    <x v="2"/>
    <x v="4"/>
    <x v="71"/>
    <n v="19"/>
    <n v="0"/>
    <d v="2024-07-31T00:00:00"/>
    <x v="71"/>
    <x v="3"/>
    <x v="3"/>
    <d v="2025-11-18T22:58:38"/>
    <n v="343.22834512686313"/>
    <n v="1020.72"/>
    <s v=""/>
  </r>
  <r>
    <s v="CUST024"/>
    <s v="David Brown"/>
    <x v="1"/>
    <x v="2"/>
    <x v="72"/>
    <n v="10"/>
    <n v="0.15"/>
    <d v="2024-08-05T00:00:00"/>
    <x v="72"/>
    <x v="4"/>
    <x v="4"/>
    <d v="2025-11-18T22:58:38"/>
    <n v="188.34998625789018"/>
    <n v="4061.91"/>
    <s v="High Value"/>
  </r>
  <r>
    <s v="CUST012"/>
    <s v="David Anderson"/>
    <x v="2"/>
    <x v="0"/>
    <x v="73"/>
    <n v="5"/>
    <n v="0.2"/>
    <d v="2024-08-05T00:00:00"/>
    <x v="73"/>
    <x v="4"/>
    <x v="4"/>
    <d v="2025-11-18T22:58:38"/>
    <n v="281.21454921337522"/>
    <n v="1937.8500000000001"/>
    <s v=""/>
  </r>
  <r>
    <s v="CUST024"/>
    <s v="Emma Davis"/>
    <x v="0"/>
    <x v="2"/>
    <x v="74"/>
    <n v="13"/>
    <n v="0.2"/>
    <d v="2024-08-08T00:00:00"/>
    <x v="74"/>
    <x v="4"/>
    <x v="4"/>
    <d v="2025-11-18T22:58:38"/>
    <n v="534.5852010884829"/>
    <n v="3846.93"/>
    <s v="High Value"/>
  </r>
  <r>
    <s v="CUST012"/>
    <s v="Linda Wilson"/>
    <x v="0"/>
    <x v="2"/>
    <x v="75"/>
    <n v="5"/>
    <n v="0.15"/>
    <d v="2024-08-09T00:00:00"/>
    <x v="75"/>
    <x v="4"/>
    <x v="4"/>
    <d v="2025-11-18T22:58:38"/>
    <n v="425.34969772381345"/>
    <n v="3241.1099999999997"/>
    <s v=""/>
  </r>
  <r>
    <s v="CUST005"/>
    <s v="Linda Taylor"/>
    <x v="4"/>
    <x v="3"/>
    <x v="76"/>
    <n v="3"/>
    <n v="0"/>
    <d v="2024-08-15T00:00:00"/>
    <x v="76"/>
    <x v="4"/>
    <x v="4"/>
    <d v="2025-11-18T22:58:38"/>
    <n v="441.5171416598447"/>
    <n v="2912.54"/>
    <s v=""/>
  </r>
  <r>
    <s v="CUST004"/>
    <s v="Lisa Thomas"/>
    <x v="3"/>
    <x v="3"/>
    <x v="77"/>
    <n v="7"/>
    <n v="0.05"/>
    <d v="2024-08-18T00:00:00"/>
    <x v="77"/>
    <x v="4"/>
    <x v="4"/>
    <d v="2025-11-18T22:58:38"/>
    <n v="180.73641131405603"/>
    <n v="3074.45"/>
    <s v=""/>
  </r>
  <r>
    <s v="CUST026"/>
    <s v="Linda Wilson"/>
    <x v="0"/>
    <x v="4"/>
    <x v="78"/>
    <n v="1"/>
    <n v="0"/>
    <d v="2024-08-19T00:00:00"/>
    <x v="78"/>
    <x v="4"/>
    <x v="4"/>
    <d v="2025-11-18T22:58:38"/>
    <n v="388.88874343057631"/>
    <n v="3241.1099999999997"/>
    <s v=""/>
  </r>
  <r>
    <s v="CUST030"/>
    <s v="Mary Davis"/>
    <x v="1"/>
    <x v="1"/>
    <x v="79"/>
    <n v="18"/>
    <n v="0.1"/>
    <d v="2024-08-22T00:00:00"/>
    <x v="79"/>
    <x v="4"/>
    <x v="4"/>
    <d v="2025-11-18T22:58:38"/>
    <n v="452.08843258416374"/>
    <n v="6553.7899999999991"/>
    <s v="High Value"/>
  </r>
  <r>
    <s v="CUST007"/>
    <s v="David Brown"/>
    <x v="3"/>
    <x v="0"/>
    <x v="80"/>
    <n v="19"/>
    <n v="0"/>
    <d v="2024-08-30T00:00:00"/>
    <x v="80"/>
    <x v="4"/>
    <x v="4"/>
    <d v="2025-11-18T22:58:38"/>
    <n v="237.44877324591565"/>
    <n v="4061.91"/>
    <s v="High Value"/>
  </r>
  <r>
    <s v="CUST020"/>
    <s v="Linda Jackson"/>
    <x v="1"/>
    <x v="3"/>
    <x v="81"/>
    <n v="17"/>
    <n v="0"/>
    <d v="2024-08-30T00:00:00"/>
    <x v="81"/>
    <x v="4"/>
    <x v="4"/>
    <d v="2025-11-18T22:58:38"/>
    <n v="400.23893464868854"/>
    <n v="1386.78"/>
    <s v=""/>
  </r>
  <r>
    <s v="CUST028"/>
    <s v="Linda Brown"/>
    <x v="4"/>
    <x v="2"/>
    <x v="82"/>
    <n v="7"/>
    <n v="0.1"/>
    <d v="2024-09-01T00:00:00"/>
    <x v="82"/>
    <x v="5"/>
    <x v="5"/>
    <d v="2025-11-18T22:58:38"/>
    <n v="276.1727486630113"/>
    <n v="1885.71"/>
    <s v=""/>
  </r>
  <r>
    <s v="CUST005"/>
    <s v="Lisa Davis"/>
    <x v="4"/>
    <x v="0"/>
    <x v="83"/>
    <n v="7"/>
    <n v="0.05"/>
    <d v="2024-09-01T00:00:00"/>
    <x v="83"/>
    <x v="5"/>
    <x v="5"/>
    <d v="2025-11-18T22:58:38"/>
    <n v="374.62293895056268"/>
    <n v="2918.14"/>
    <s v=""/>
  </r>
  <r>
    <s v="CUST015"/>
    <s v="David Thomas"/>
    <x v="0"/>
    <x v="1"/>
    <x v="84"/>
    <n v="4"/>
    <n v="0.1"/>
    <d v="2024-09-09T00:00:00"/>
    <x v="84"/>
    <x v="5"/>
    <x v="5"/>
    <d v="2025-11-18T22:58:38"/>
    <n v="409.08050555120565"/>
    <n v="2919.45"/>
    <s v=""/>
  </r>
  <r>
    <s v="CUST003"/>
    <s v="James Davis"/>
    <x v="2"/>
    <x v="2"/>
    <x v="85"/>
    <n v="17"/>
    <n v="0"/>
    <d v="2024-09-09T00:00:00"/>
    <x v="85"/>
    <x v="5"/>
    <x v="5"/>
    <d v="2025-11-18T22:58:38"/>
    <n v="467.66643846002717"/>
    <n v="2122.8200000000002"/>
    <s v=""/>
  </r>
  <r>
    <s v="CUST023"/>
    <s v="David Brown"/>
    <x v="1"/>
    <x v="3"/>
    <x v="86"/>
    <n v="9"/>
    <n v="0"/>
    <d v="2024-09-11T00:00:00"/>
    <x v="86"/>
    <x v="5"/>
    <x v="5"/>
    <d v="2025-11-18T22:58:38"/>
    <n v="305.51132639588747"/>
    <n v="4061.91"/>
    <s v="High Value"/>
  </r>
  <r>
    <s v="CUST004"/>
    <s v="Sarah Davis"/>
    <x v="0"/>
    <x v="4"/>
    <x v="87"/>
    <n v="19"/>
    <n v="0"/>
    <d v="2024-09-12T00:00:00"/>
    <x v="87"/>
    <x v="5"/>
    <x v="5"/>
    <d v="2025-11-18T22:58:38"/>
    <n v="505.59747934380187"/>
    <n v="2039.74"/>
    <s v=""/>
  </r>
  <r>
    <s v="CUST023"/>
    <s v="James Wilson"/>
    <x v="1"/>
    <x v="4"/>
    <x v="88"/>
    <n v="11"/>
    <n v="0.15"/>
    <d v="2024-09-14T00:00:00"/>
    <x v="88"/>
    <x v="5"/>
    <x v="5"/>
    <d v="2025-11-18T22:58:38"/>
    <n v="403.97204236308465"/>
    <n v="7077.9199999999992"/>
    <s v="High Value"/>
  </r>
  <r>
    <s v="CUST022"/>
    <s v="Linda Brown"/>
    <x v="2"/>
    <x v="0"/>
    <x v="89"/>
    <n v="16"/>
    <n v="0.05"/>
    <d v="2024-09-14T00:00:00"/>
    <x v="89"/>
    <x v="5"/>
    <x v="5"/>
    <d v="2025-11-18T22:58:38"/>
    <n v="442.62233802265933"/>
    <n v="1885.71"/>
    <s v=""/>
  </r>
  <r>
    <s v="CUST007"/>
    <s v="Emma Taylor"/>
    <x v="0"/>
    <x v="3"/>
    <x v="90"/>
    <n v="4"/>
    <n v="0.1"/>
    <d v="2024-09-16T00:00:00"/>
    <x v="90"/>
    <x v="5"/>
    <x v="5"/>
    <d v="2025-11-18T22:58:38"/>
    <n v="385.45386330614605"/>
    <n v="1909.5700000000002"/>
    <s v=""/>
  </r>
  <r>
    <s v="CUST013"/>
    <s v="Robert Anderson"/>
    <x v="2"/>
    <x v="3"/>
    <x v="91"/>
    <n v="1"/>
    <n v="0.1"/>
    <d v="2024-09-17T00:00:00"/>
    <x v="91"/>
    <x v="5"/>
    <x v="5"/>
    <d v="2025-11-18T22:58:38"/>
    <n v="254.2968777990454"/>
    <n v="2765.53"/>
    <s v=""/>
  </r>
  <r>
    <s v="CUST027"/>
    <s v="Emma Davis"/>
    <x v="1"/>
    <x v="4"/>
    <x v="92"/>
    <n v="13"/>
    <n v="0.15"/>
    <d v="2024-09-17T00:00:00"/>
    <x v="92"/>
    <x v="5"/>
    <x v="5"/>
    <d v="2025-11-18T22:58:38"/>
    <n v="306.1112901357011"/>
    <n v="3846.93"/>
    <s v="High Value"/>
  </r>
  <r>
    <s v="CUST003"/>
    <s v="James Wilson"/>
    <x v="0"/>
    <x v="2"/>
    <x v="93"/>
    <n v="19"/>
    <n v="0.2"/>
    <d v="2024-09-18T00:00:00"/>
    <x v="93"/>
    <x v="5"/>
    <x v="5"/>
    <d v="2025-11-18T22:58:38"/>
    <n v="405.58948846866417"/>
    <n v="7077.9199999999992"/>
    <s v="High Value"/>
  </r>
  <r>
    <s v="CUST018"/>
    <s v="Mary Jackson"/>
    <x v="2"/>
    <x v="0"/>
    <x v="94"/>
    <n v="2"/>
    <n v="0.15"/>
    <d v="2024-09-22T00:00:00"/>
    <x v="94"/>
    <x v="5"/>
    <x v="5"/>
    <d v="2025-11-18T22:58:38"/>
    <n v="338.00059090275573"/>
    <n v="2339.64"/>
    <s v=""/>
  </r>
  <r>
    <s v="CUST020"/>
    <s v="James Taylor"/>
    <x v="2"/>
    <x v="0"/>
    <x v="95"/>
    <n v="6"/>
    <n v="0"/>
    <d v="2024-09-23T00:00:00"/>
    <x v="95"/>
    <x v="5"/>
    <x v="5"/>
    <d v="2025-11-18T22:58:38"/>
    <n v="320.87180155906992"/>
    <n v="2203.6800000000003"/>
    <s v=""/>
  </r>
  <r>
    <s v="CUST029"/>
    <s v="Emma Wilson"/>
    <x v="0"/>
    <x v="3"/>
    <x v="96"/>
    <n v="7"/>
    <n v="0.15"/>
    <d v="2024-09-24T00:00:00"/>
    <x v="96"/>
    <x v="5"/>
    <x v="5"/>
    <d v="2025-11-18T22:58:38"/>
    <n v="410.51199798304174"/>
    <n v="2718.8399999999997"/>
    <s v=""/>
  </r>
  <r>
    <s v="CUST021"/>
    <s v="James Wilson"/>
    <x v="3"/>
    <x v="1"/>
    <x v="97"/>
    <n v="11"/>
    <n v="0.1"/>
    <d v="2024-09-24T00:00:00"/>
    <x v="97"/>
    <x v="5"/>
    <x v="5"/>
    <d v="2025-11-18T22:58:38"/>
    <n v="422.03761719525147"/>
    <n v="7077.9199999999992"/>
    <s v="High Value"/>
  </r>
  <r>
    <s v="CUST017"/>
    <s v="Sarah Davis"/>
    <x v="0"/>
    <x v="4"/>
    <x v="98"/>
    <n v="10"/>
    <n v="0.2"/>
    <d v="2024-09-29T00:00:00"/>
    <x v="98"/>
    <x v="5"/>
    <x v="5"/>
    <d v="2025-11-18T22:58:38"/>
    <n v="289.10179182800152"/>
    <n v="2039.74"/>
    <s v=""/>
  </r>
  <r>
    <s v="CUST003"/>
    <s v="James Wilson"/>
    <x v="4"/>
    <x v="1"/>
    <x v="99"/>
    <n v="12"/>
    <n v="0"/>
    <d v="2024-09-29T00:00:00"/>
    <x v="99"/>
    <x v="5"/>
    <x v="5"/>
    <d v="2025-11-18T22:58:38"/>
    <n v="315.50721349956649"/>
    <n v="7077.9199999999992"/>
    <s v="High Value"/>
  </r>
  <r>
    <s v="CUST027"/>
    <s v="Emma Davis"/>
    <x v="3"/>
    <x v="0"/>
    <x v="100"/>
    <n v="17"/>
    <n v="0.1"/>
    <d v="2024-09-30T00:00:00"/>
    <x v="100"/>
    <x v="5"/>
    <x v="5"/>
    <d v="2025-11-18T22:58:38"/>
    <n v="204.55953291250486"/>
    <n v="3846.93"/>
    <s v="High Value"/>
  </r>
  <r>
    <s v="CUST016"/>
    <s v="Michael Anderson"/>
    <x v="3"/>
    <x v="1"/>
    <x v="101"/>
    <n v="8"/>
    <n v="0.1"/>
    <d v="2024-09-30T00:00:00"/>
    <x v="101"/>
    <x v="5"/>
    <x v="5"/>
    <d v="2025-11-18T22:58:38"/>
    <n v="346.38254046073729"/>
    <n v="2535.5100000000002"/>
    <s v=""/>
  </r>
  <r>
    <s v="CUST008"/>
    <s v="David Davis"/>
    <x v="4"/>
    <x v="2"/>
    <x v="102"/>
    <n v="13"/>
    <n v="0.2"/>
    <d v="2024-10-02T00:00:00"/>
    <x v="102"/>
    <x v="6"/>
    <x v="6"/>
    <d v="2025-11-18T22:58:38"/>
    <n v="354.76799857860067"/>
    <n v="1273.1899999999998"/>
    <s v=""/>
  </r>
  <r>
    <s v="CUST012"/>
    <s v="Lisa Davis"/>
    <x v="3"/>
    <x v="2"/>
    <x v="103"/>
    <n v="17"/>
    <n v="0"/>
    <d v="2024-10-05T00:00:00"/>
    <x v="103"/>
    <x v="6"/>
    <x v="6"/>
    <d v="2025-11-18T22:58:38"/>
    <n v="323.61198682687376"/>
    <n v="2918.14"/>
    <s v=""/>
  </r>
  <r>
    <s v="CUST025"/>
    <s v="Mary Jackson"/>
    <x v="1"/>
    <x v="3"/>
    <x v="104"/>
    <n v="8"/>
    <n v="0"/>
    <d v="2024-10-10T00:00:00"/>
    <x v="104"/>
    <x v="6"/>
    <x v="6"/>
    <d v="2025-11-18T22:58:38"/>
    <n v="450.3587125623618"/>
    <n v="2339.64"/>
    <s v=""/>
  </r>
  <r>
    <s v="CUST014"/>
    <s v="Sarah Davis"/>
    <x v="2"/>
    <x v="0"/>
    <x v="105"/>
    <n v="8"/>
    <n v="0.2"/>
    <d v="2024-10-12T00:00:00"/>
    <x v="105"/>
    <x v="6"/>
    <x v="6"/>
    <d v="2025-11-18T22:58:38"/>
    <n v="336.3585848780026"/>
    <n v="2039.74"/>
    <s v=""/>
  </r>
  <r>
    <s v="CUST008"/>
    <s v="James Wilson"/>
    <x v="1"/>
    <x v="0"/>
    <x v="106"/>
    <n v="19"/>
    <n v="0.15"/>
    <d v="2024-10-12T00:00:00"/>
    <x v="106"/>
    <x v="6"/>
    <x v="6"/>
    <d v="2025-11-18T22:58:38"/>
    <n v="378.29289258708366"/>
    <n v="7077.9199999999992"/>
    <s v="High Value"/>
  </r>
  <r>
    <s v="CUST015"/>
    <s v="James Wilson"/>
    <x v="0"/>
    <x v="1"/>
    <x v="107"/>
    <n v="9"/>
    <n v="0.2"/>
    <d v="2024-10-15T00:00:00"/>
    <x v="107"/>
    <x v="6"/>
    <x v="6"/>
    <d v="2025-11-18T22:58:38"/>
    <n v="673.8960797612383"/>
    <n v="7077.9199999999992"/>
    <s v="High Value"/>
  </r>
  <r>
    <s v="CUST025"/>
    <s v="Emma Taylor"/>
    <x v="4"/>
    <x v="1"/>
    <x v="108"/>
    <n v="14"/>
    <n v="0.1"/>
    <d v="2024-10-16T00:00:00"/>
    <x v="108"/>
    <x v="6"/>
    <x v="6"/>
    <d v="2025-11-18T22:58:38"/>
    <n v="254.64071666747662"/>
    <n v="1909.5700000000002"/>
    <s v=""/>
  </r>
  <r>
    <s v="CUST019"/>
    <s v="Linda Jackson"/>
    <x v="4"/>
    <x v="1"/>
    <x v="109"/>
    <n v="7"/>
    <n v="0.15"/>
    <d v="2024-10-16T00:00:00"/>
    <x v="109"/>
    <x v="6"/>
    <x v="6"/>
    <d v="2025-11-18T22:58:38"/>
    <n v="455.74435198115697"/>
    <n v="1386.78"/>
    <s v=""/>
  </r>
  <r>
    <s v="CUST024"/>
    <s v="Emma Taylor"/>
    <x v="1"/>
    <x v="0"/>
    <x v="110"/>
    <n v="16"/>
    <n v="0.1"/>
    <d v="2024-10-17T00:00:00"/>
    <x v="110"/>
    <x v="6"/>
    <x v="6"/>
    <d v="2025-11-18T22:58:38"/>
    <n v="342.87047201890408"/>
    <n v="1909.5700000000002"/>
    <s v=""/>
  </r>
  <r>
    <s v="CUST027"/>
    <s v="James Wilson"/>
    <x v="0"/>
    <x v="1"/>
    <x v="111"/>
    <n v="17"/>
    <n v="0.1"/>
    <d v="2024-10-19T00:00:00"/>
    <x v="111"/>
    <x v="6"/>
    <x v="6"/>
    <d v="2025-11-18T22:58:38"/>
    <n v="243.71506119508052"/>
    <n v="7077.9199999999992"/>
    <s v="High Value"/>
  </r>
  <r>
    <s v="CUST006"/>
    <s v="David Anderson"/>
    <x v="0"/>
    <x v="3"/>
    <x v="112"/>
    <n v="1"/>
    <n v="0.15"/>
    <d v="2024-10-19T00:00:00"/>
    <x v="112"/>
    <x v="6"/>
    <x v="6"/>
    <d v="2025-11-18T22:58:38"/>
    <n v="417.75366557938901"/>
    <n v="1937.8500000000001"/>
    <s v=""/>
  </r>
  <r>
    <s v="CUST009"/>
    <s v="Emma Davis"/>
    <x v="2"/>
    <x v="2"/>
    <x v="113"/>
    <n v="1"/>
    <n v="0"/>
    <d v="2024-10-20T00:00:00"/>
    <x v="113"/>
    <x v="6"/>
    <x v="6"/>
    <d v="2025-11-18T22:58:38"/>
    <n v="269.48543352801227"/>
    <n v="3846.93"/>
    <s v="High Value"/>
  </r>
  <r>
    <s v="CUST003"/>
    <s v="Linda Moore"/>
    <x v="3"/>
    <x v="1"/>
    <x v="114"/>
    <n v="1"/>
    <n v="0.2"/>
    <d v="2024-10-28T00:00:00"/>
    <x v="114"/>
    <x v="6"/>
    <x v="6"/>
    <d v="2025-11-18T22:58:38"/>
    <n v="230.91583474572246"/>
    <n v="1020.72"/>
    <s v=""/>
  </r>
  <r>
    <s v="CUST012"/>
    <s v="David Brown"/>
    <x v="0"/>
    <x v="2"/>
    <x v="115"/>
    <n v="15"/>
    <n v="0"/>
    <d v="2024-10-30T00:00:00"/>
    <x v="115"/>
    <x v="6"/>
    <x v="6"/>
    <d v="2025-11-18T22:58:38"/>
    <n v="240.64857985825515"/>
    <n v="4061.91"/>
    <s v="High Value"/>
  </r>
  <r>
    <s v="CUST013"/>
    <s v="Linda Wilson"/>
    <x v="4"/>
    <x v="0"/>
    <x v="116"/>
    <n v="4"/>
    <n v="0.05"/>
    <d v="2024-11-01T00:00:00"/>
    <x v="116"/>
    <x v="7"/>
    <x v="7"/>
    <d v="2025-11-18T22:58:38"/>
    <n v="437.22266436433637"/>
    <n v="3241.1099999999997"/>
    <s v=""/>
  </r>
  <r>
    <s v="CUST008"/>
    <s v="James Wilson"/>
    <x v="1"/>
    <x v="4"/>
    <x v="117"/>
    <n v="14"/>
    <n v="0.05"/>
    <d v="2024-11-03T00:00:00"/>
    <x v="117"/>
    <x v="7"/>
    <x v="7"/>
    <d v="2025-11-18T22:58:38"/>
    <n v="354.81360985706607"/>
    <n v="7077.9199999999992"/>
    <s v="High Value"/>
  </r>
  <r>
    <s v="CUST025"/>
    <s v="Lisa Davis"/>
    <x v="1"/>
    <x v="0"/>
    <x v="118"/>
    <n v="2"/>
    <n v="0.15"/>
    <d v="2024-11-09T00:00:00"/>
    <x v="118"/>
    <x v="7"/>
    <x v="7"/>
    <d v="2025-11-18T22:58:38"/>
    <n v="353.53649406003581"/>
    <n v="2918.14"/>
    <s v=""/>
  </r>
  <r>
    <s v="CUST026"/>
    <s v="Mary Wilson"/>
    <x v="3"/>
    <x v="3"/>
    <x v="119"/>
    <n v="4"/>
    <n v="0.05"/>
    <d v="2024-11-09T00:00:00"/>
    <x v="119"/>
    <x v="7"/>
    <x v="7"/>
    <d v="2025-11-18T22:58:38"/>
    <n v="334.8393784491177"/>
    <n v="2285.64"/>
    <s v=""/>
  </r>
  <r>
    <s v="CUST001"/>
    <s v="Lisa Thomas"/>
    <x v="3"/>
    <x v="3"/>
    <x v="120"/>
    <n v="3"/>
    <n v="0.05"/>
    <d v="2024-11-12T00:00:00"/>
    <x v="120"/>
    <x v="7"/>
    <x v="7"/>
    <d v="2025-11-18T22:58:38"/>
    <n v="377.16313630509535"/>
    <n v="3074.45"/>
    <s v=""/>
  </r>
  <r>
    <s v="CUST028"/>
    <s v="Linda Brown"/>
    <x v="2"/>
    <x v="1"/>
    <x v="121"/>
    <n v="5"/>
    <n v="0"/>
    <d v="2024-11-15T00:00:00"/>
    <x v="121"/>
    <x v="7"/>
    <x v="7"/>
    <d v="2025-11-18T22:58:38"/>
    <n v="407.01747234061833"/>
    <n v="1885.71"/>
    <s v=""/>
  </r>
  <r>
    <s v="CUST025"/>
    <s v="Lisa Thomas"/>
    <x v="1"/>
    <x v="4"/>
    <x v="122"/>
    <n v="10"/>
    <n v="0.1"/>
    <d v="2024-11-16T00:00:00"/>
    <x v="122"/>
    <x v="7"/>
    <x v="7"/>
    <d v="2025-11-18T22:58:38"/>
    <n v="354.93290089305236"/>
    <n v="3074.45"/>
    <s v=""/>
  </r>
  <r>
    <s v="CUST019"/>
    <s v="James Taylor"/>
    <x v="2"/>
    <x v="2"/>
    <x v="123"/>
    <n v="14"/>
    <n v="0"/>
    <d v="2024-11-17T00:00:00"/>
    <x v="123"/>
    <x v="7"/>
    <x v="7"/>
    <d v="2025-11-18T22:58:38"/>
    <n v="250.89708327343465"/>
    <n v="2203.6800000000003"/>
    <s v=""/>
  </r>
  <r>
    <s v="CUST004"/>
    <s v="James Taylor"/>
    <x v="4"/>
    <x v="1"/>
    <x v="124"/>
    <n v="18"/>
    <n v="0.2"/>
    <d v="2024-11-17T00:00:00"/>
    <x v="124"/>
    <x v="7"/>
    <x v="7"/>
    <d v="2025-11-18T22:58:38"/>
    <n v="447.30977402494614"/>
    <n v="2203.6800000000003"/>
    <s v=""/>
  </r>
  <r>
    <s v="CUST024"/>
    <s v="James Wilson"/>
    <x v="3"/>
    <x v="2"/>
    <x v="125"/>
    <n v="1"/>
    <n v="0.15"/>
    <d v="2024-11-17T00:00:00"/>
    <x v="125"/>
    <x v="7"/>
    <x v="7"/>
    <d v="2025-11-18T22:58:38"/>
    <n v="246.92890204694783"/>
    <n v="7077.9199999999992"/>
    <s v="High Value"/>
  </r>
  <r>
    <s v="CUST002"/>
    <s v="Linda Brown"/>
    <x v="1"/>
    <x v="2"/>
    <x v="126"/>
    <n v="15"/>
    <n v="0"/>
    <d v="2024-11-19T00:00:00"/>
    <x v="126"/>
    <x v="7"/>
    <x v="7"/>
    <d v="2025-11-18T22:58:38"/>
    <n v="493.88239789796671"/>
    <n v="1885.71"/>
    <s v=""/>
  </r>
  <r>
    <s v="CUST009"/>
    <s v="Emma Wilson"/>
    <x v="2"/>
    <x v="3"/>
    <x v="127"/>
    <n v="10"/>
    <n v="0"/>
    <d v="2024-11-19T00:00:00"/>
    <x v="127"/>
    <x v="7"/>
    <x v="7"/>
    <d v="2025-11-18T22:58:38"/>
    <n v="472.73981604932862"/>
    <n v="2718.8399999999997"/>
    <s v=""/>
  </r>
  <r>
    <s v="CUST029"/>
    <s v="Lisa Thomas"/>
    <x v="1"/>
    <x v="2"/>
    <x v="128"/>
    <n v="4"/>
    <n v="0.15"/>
    <d v="2024-11-19T00:00:00"/>
    <x v="128"/>
    <x v="7"/>
    <x v="7"/>
    <d v="2025-11-18T22:58:38"/>
    <n v="321.46825673900156"/>
    <n v="3074.45"/>
    <s v=""/>
  </r>
  <r>
    <s v="CUST027"/>
    <s v="James Wilson"/>
    <x v="0"/>
    <x v="2"/>
    <x v="129"/>
    <n v="19"/>
    <n v="0"/>
    <d v="2024-11-20T00:00:00"/>
    <x v="129"/>
    <x v="7"/>
    <x v="7"/>
    <d v="2025-11-18T22:58:38"/>
    <n v="89.668231018130029"/>
    <n v="7077.9199999999992"/>
    <s v="High Value"/>
  </r>
  <r>
    <s v="CUST011"/>
    <s v="Emma Wilson"/>
    <x v="1"/>
    <x v="0"/>
    <x v="130"/>
    <n v="5"/>
    <n v="0.05"/>
    <d v="2024-11-20T00:00:00"/>
    <x v="130"/>
    <x v="7"/>
    <x v="7"/>
    <d v="2025-11-18T22:58:38"/>
    <n v="424.72517406482615"/>
    <n v="2718.8399999999997"/>
    <s v=""/>
  </r>
  <r>
    <s v="CUST021"/>
    <s v="Emma Davis"/>
    <x v="4"/>
    <x v="0"/>
    <x v="131"/>
    <n v="8"/>
    <n v="0.05"/>
    <d v="2024-11-26T00:00:00"/>
    <x v="131"/>
    <x v="7"/>
    <x v="7"/>
    <d v="2025-11-18T22:58:38"/>
    <n v="402.55107561089437"/>
    <n v="3846.93"/>
    <s v="High Value"/>
  </r>
  <r>
    <s v="CUST014"/>
    <s v="David Anderson"/>
    <x v="2"/>
    <x v="3"/>
    <x v="132"/>
    <n v="8"/>
    <n v="0.1"/>
    <d v="2024-11-26T00:00:00"/>
    <x v="132"/>
    <x v="7"/>
    <x v="7"/>
    <d v="2025-11-18T22:58:38"/>
    <n v="298.55034359009619"/>
    <n v="1937.8500000000001"/>
    <s v=""/>
  </r>
  <r>
    <s v="CUST018"/>
    <s v="Lisa Thomas"/>
    <x v="2"/>
    <x v="2"/>
    <x v="133"/>
    <n v="1"/>
    <n v="0"/>
    <d v="2024-11-28T00:00:00"/>
    <x v="133"/>
    <x v="7"/>
    <x v="7"/>
    <d v="2025-11-18T22:58:38"/>
    <n v="371.24068722436169"/>
    <n v="3074.45"/>
    <s v=""/>
  </r>
  <r>
    <s v="CUST001"/>
    <s v="Sarah Anderson"/>
    <x v="0"/>
    <x v="2"/>
    <x v="134"/>
    <n v="19"/>
    <n v="0.2"/>
    <d v="2024-11-29T00:00:00"/>
    <x v="134"/>
    <x v="7"/>
    <x v="7"/>
    <d v="2025-11-18T22:58:38"/>
    <n v="312.82667374975574"/>
    <n v="2060.81"/>
    <s v=""/>
  </r>
  <r>
    <s v="CUST007"/>
    <s v="Emma Davis"/>
    <x v="3"/>
    <x v="4"/>
    <x v="135"/>
    <n v="3"/>
    <n v="0.05"/>
    <d v="2024-11-30T00:00:00"/>
    <x v="135"/>
    <x v="7"/>
    <x v="7"/>
    <d v="2025-11-18T22:58:38"/>
    <n v="291.5507666256035"/>
    <n v="3846.93"/>
    <s v="High Value"/>
  </r>
  <r>
    <s v="CUST015"/>
    <s v="David Anderson"/>
    <x v="0"/>
    <x v="3"/>
    <x v="136"/>
    <n v="4"/>
    <n v="0.2"/>
    <d v="2024-12-04T00:00:00"/>
    <x v="136"/>
    <x v="8"/>
    <x v="8"/>
    <d v="2025-11-18T22:58:38"/>
    <n v="286.73702246756642"/>
    <n v="1937.8500000000001"/>
    <s v=""/>
  </r>
  <r>
    <s v="CUST015"/>
    <s v="Emma Davis"/>
    <x v="4"/>
    <x v="2"/>
    <x v="137"/>
    <n v="8"/>
    <n v="0.05"/>
    <d v="2024-12-05T00:00:00"/>
    <x v="137"/>
    <x v="8"/>
    <x v="8"/>
    <d v="2025-11-18T22:58:38"/>
    <n v="178.51549290878091"/>
    <n v="3846.93"/>
    <s v="High Value"/>
  </r>
  <r>
    <s v="CUST002"/>
    <s v="Emma Wilson"/>
    <x v="2"/>
    <x v="3"/>
    <x v="138"/>
    <n v="19"/>
    <n v="0.05"/>
    <d v="2024-12-12T00:00:00"/>
    <x v="138"/>
    <x v="8"/>
    <x v="8"/>
    <d v="2025-11-18T22:58:38"/>
    <n v="281.76890167472351"/>
    <n v="2718.8399999999997"/>
    <s v=""/>
  </r>
  <r>
    <s v="CUST001"/>
    <s v="Michael Anderson"/>
    <x v="4"/>
    <x v="3"/>
    <x v="139"/>
    <n v="16"/>
    <n v="0.15"/>
    <d v="2024-12-14T00:00:00"/>
    <x v="139"/>
    <x v="8"/>
    <x v="8"/>
    <d v="2025-11-18T22:58:38"/>
    <n v="501.55912691967603"/>
    <n v="2535.5100000000002"/>
    <s v=""/>
  </r>
  <r>
    <s v="CUST027"/>
    <s v="Linda Wilson"/>
    <x v="4"/>
    <x v="2"/>
    <x v="140"/>
    <n v="10"/>
    <n v="0.15"/>
    <d v="2024-12-14T00:00:00"/>
    <x v="140"/>
    <x v="8"/>
    <x v="8"/>
    <d v="2025-11-18T22:58:38"/>
    <n v="521.2456564173043"/>
    <n v="3241.1099999999997"/>
    <s v=""/>
  </r>
  <r>
    <s v="CUST026"/>
    <s v="Emma Taylor"/>
    <x v="1"/>
    <x v="0"/>
    <x v="141"/>
    <n v="9"/>
    <n v="0"/>
    <d v="2024-12-20T00:00:00"/>
    <x v="141"/>
    <x v="8"/>
    <x v="8"/>
    <d v="2025-11-18T22:58:38"/>
    <n v="430.96339353493545"/>
    <n v="1909.5700000000002"/>
    <s v=""/>
  </r>
  <r>
    <s v="CUST026"/>
    <s v="Sarah Anderson"/>
    <x v="0"/>
    <x v="2"/>
    <x v="142"/>
    <n v="19"/>
    <n v="0.2"/>
    <d v="2024-12-21T00:00:00"/>
    <x v="142"/>
    <x v="8"/>
    <x v="8"/>
    <d v="2025-11-18T22:58:38"/>
    <n v="406.54732531643685"/>
    <n v="2060.81"/>
    <s v=""/>
  </r>
  <r>
    <s v="CUST022"/>
    <s v="Lisa Thomas"/>
    <x v="4"/>
    <x v="4"/>
    <x v="143"/>
    <n v="16"/>
    <n v="0.05"/>
    <d v="2024-12-24T00:00:00"/>
    <x v="143"/>
    <x v="8"/>
    <x v="8"/>
    <d v="2025-11-18T22:58:38"/>
    <n v="135.18126980680134"/>
    <n v="3074.45"/>
    <s v=""/>
  </r>
  <r>
    <s v="CUST004"/>
    <s v="Mary Davis"/>
    <x v="3"/>
    <x v="1"/>
    <x v="144"/>
    <n v="6"/>
    <n v="0.15"/>
    <d v="2024-12-25T00:00:00"/>
    <x v="144"/>
    <x v="8"/>
    <x v="8"/>
    <d v="2025-11-18T22:58:38"/>
    <n v="556.62597426690047"/>
    <n v="6553.7899999999991"/>
    <s v="High Value"/>
  </r>
  <r>
    <s v="CUST001"/>
    <s v="David Anderson"/>
    <x v="3"/>
    <x v="1"/>
    <x v="145"/>
    <n v="13"/>
    <n v="0.2"/>
    <d v="2024-12-25T00:00:00"/>
    <x v="145"/>
    <x v="8"/>
    <x v="8"/>
    <d v="2025-11-18T22:58:38"/>
    <n v="117.08762649557886"/>
    <n v="1937.8500000000001"/>
    <s v=""/>
  </r>
  <r>
    <s v="CUST022"/>
    <s v="James Wilson"/>
    <x v="0"/>
    <x v="0"/>
    <x v="146"/>
    <n v="14"/>
    <n v="0.1"/>
    <d v="2024-12-30T00:00:00"/>
    <x v="146"/>
    <x v="8"/>
    <x v="8"/>
    <d v="2025-11-18T22:58:38"/>
    <n v="473.95377776848375"/>
    <n v="7077.9199999999992"/>
    <s v="High Value"/>
  </r>
  <r>
    <s v="CUST011"/>
    <s v="Linda Moore"/>
    <x v="4"/>
    <x v="1"/>
    <x v="147"/>
    <n v="11"/>
    <n v="0.05"/>
    <d v="2025-01-01T00:00:00"/>
    <x v="147"/>
    <x v="9"/>
    <x v="9"/>
    <d v="2025-11-18T22:58:38"/>
    <n v="231.44913584777902"/>
    <n v="1020.72"/>
    <s v=""/>
  </r>
  <r>
    <s v="CUST028"/>
    <s v="Lisa Davis"/>
    <x v="3"/>
    <x v="4"/>
    <x v="148"/>
    <n v="1"/>
    <n v="0.2"/>
    <d v="2025-01-01T00:00:00"/>
    <x v="148"/>
    <x v="9"/>
    <x v="9"/>
    <d v="2025-11-18T22:58:38"/>
    <n v="107.53030937714372"/>
    <n v="2918.14"/>
    <s v=""/>
  </r>
  <r>
    <s v="CUST011"/>
    <s v="Linda Wilson"/>
    <x v="3"/>
    <x v="0"/>
    <x v="149"/>
    <n v="18"/>
    <n v="0.1"/>
    <d v="2025-01-02T00:00:00"/>
    <x v="149"/>
    <x v="9"/>
    <x v="9"/>
    <d v="2025-11-18T22:58:38"/>
    <n v="309.34618234686013"/>
    <n v="3241.1099999999997"/>
    <s v=""/>
  </r>
  <r>
    <s v="CUST028"/>
    <s v="James Wilson"/>
    <x v="4"/>
    <x v="4"/>
    <x v="150"/>
    <n v="10"/>
    <n v="0.1"/>
    <d v="2025-01-03T00:00:00"/>
    <x v="150"/>
    <x v="9"/>
    <x v="9"/>
    <d v="2025-11-18T22:58:38"/>
    <n v="260.37370351458492"/>
    <n v="7077.9199999999992"/>
    <s v="High Value"/>
  </r>
  <r>
    <s v="CUST016"/>
    <s v="James Taylor"/>
    <x v="2"/>
    <x v="1"/>
    <x v="151"/>
    <n v="5"/>
    <n v="0.05"/>
    <d v="2025-01-03T00:00:00"/>
    <x v="151"/>
    <x v="9"/>
    <x v="9"/>
    <d v="2025-11-18T22:58:38"/>
    <n v="304.29385611685035"/>
    <n v="2203.6800000000003"/>
    <s v=""/>
  </r>
  <r>
    <s v="CUST010"/>
    <s v="Linda Wilson"/>
    <x v="0"/>
    <x v="3"/>
    <x v="152"/>
    <n v="18"/>
    <n v="0.05"/>
    <d v="2025-01-06T00:00:00"/>
    <x v="152"/>
    <x v="9"/>
    <x v="9"/>
    <d v="2025-11-18T22:58:38"/>
    <n v="301.47297397176158"/>
    <n v="3241.1099999999997"/>
    <s v=""/>
  </r>
  <r>
    <s v="CUST013"/>
    <s v="Mary Wilson"/>
    <x v="3"/>
    <x v="1"/>
    <x v="153"/>
    <n v="19"/>
    <n v="0.05"/>
    <d v="2025-01-10T00:00:00"/>
    <x v="153"/>
    <x v="9"/>
    <x v="9"/>
    <d v="2025-11-18T22:58:38"/>
    <n v="409.8839657641725"/>
    <n v="2285.64"/>
    <s v=""/>
  </r>
  <r>
    <s v="CUST015"/>
    <s v="Robert Anderson"/>
    <x v="2"/>
    <x v="3"/>
    <x v="154"/>
    <n v="11"/>
    <n v="0.1"/>
    <d v="2025-01-12T00:00:00"/>
    <x v="154"/>
    <x v="9"/>
    <x v="9"/>
    <d v="2025-11-18T22:58:38"/>
    <n v="368.96714042085728"/>
    <n v="2765.53"/>
    <s v=""/>
  </r>
  <r>
    <s v="CUST015"/>
    <s v="James Wilson"/>
    <x v="3"/>
    <x v="2"/>
    <x v="155"/>
    <n v="5"/>
    <n v="0.2"/>
    <d v="2025-01-13T00:00:00"/>
    <x v="155"/>
    <x v="9"/>
    <x v="9"/>
    <d v="2025-11-18T22:58:38"/>
    <n v="588.83104542333081"/>
    <n v="7077.9199999999992"/>
    <s v="High Value"/>
  </r>
  <r>
    <s v="CUST015"/>
    <s v="David Thomas"/>
    <x v="0"/>
    <x v="1"/>
    <x v="156"/>
    <n v="9"/>
    <n v="0.05"/>
    <d v="2025-01-16T00:00:00"/>
    <x v="156"/>
    <x v="9"/>
    <x v="9"/>
    <d v="2025-11-18T22:58:38"/>
    <n v="132.21302814667058"/>
    <n v="2919.45"/>
    <s v=""/>
  </r>
  <r>
    <s v="CUST008"/>
    <s v="Lisa Thomas"/>
    <x v="4"/>
    <x v="1"/>
    <x v="157"/>
    <n v="2"/>
    <n v="0.1"/>
    <d v="2025-01-17T00:00:00"/>
    <x v="157"/>
    <x v="9"/>
    <x v="9"/>
    <d v="2025-11-18T22:58:38"/>
    <n v="376.60527528386507"/>
    <n v="3074.45"/>
    <s v=""/>
  </r>
  <r>
    <s v="CUST008"/>
    <s v="Mary Davis"/>
    <x v="4"/>
    <x v="4"/>
    <x v="158"/>
    <n v="7"/>
    <n v="0"/>
    <d v="2025-01-17T00:00:00"/>
    <x v="158"/>
    <x v="9"/>
    <x v="9"/>
    <d v="2025-11-18T22:58:38"/>
    <n v="437.78754250533058"/>
    <n v="6553.7899999999991"/>
    <s v="High Value"/>
  </r>
  <r>
    <s v="CUST023"/>
    <s v="James Taylor"/>
    <x v="2"/>
    <x v="1"/>
    <x v="159"/>
    <n v="6"/>
    <n v="0.2"/>
    <d v="2025-01-17T00:00:00"/>
    <x v="159"/>
    <x v="9"/>
    <x v="9"/>
    <d v="2025-11-18T22:58:38"/>
    <n v="391.34473534794216"/>
    <n v="2203.6800000000003"/>
    <s v=""/>
  </r>
  <r>
    <s v="CUST024"/>
    <s v="Linda Taylor"/>
    <x v="3"/>
    <x v="1"/>
    <x v="160"/>
    <n v="12"/>
    <n v="0.2"/>
    <d v="2025-01-20T00:00:00"/>
    <x v="160"/>
    <x v="9"/>
    <x v="9"/>
    <d v="2025-11-18T22:58:38"/>
    <n v="568.27439307497855"/>
    <n v="2912.54"/>
    <s v=""/>
  </r>
  <r>
    <s v="CUST018"/>
    <s v="Lisa Davis"/>
    <x v="3"/>
    <x v="0"/>
    <x v="161"/>
    <n v="11"/>
    <n v="0.2"/>
    <d v="2025-01-21T00:00:00"/>
    <x v="161"/>
    <x v="9"/>
    <x v="9"/>
    <d v="2025-11-18T22:58:38"/>
    <n v="223.74082978713218"/>
    <n v="2918.14"/>
    <s v=""/>
  </r>
  <r>
    <s v="CUST030"/>
    <s v="Sarah Anderson"/>
    <x v="0"/>
    <x v="1"/>
    <x v="162"/>
    <n v="17"/>
    <n v="0.1"/>
    <d v="2025-01-27T00:00:00"/>
    <x v="162"/>
    <x v="9"/>
    <x v="9"/>
    <d v="2025-11-18T22:58:38"/>
    <n v="204.27533956206679"/>
    <n v="2060.81"/>
    <s v=""/>
  </r>
  <r>
    <s v="CUST030"/>
    <s v="Mary Davis"/>
    <x v="1"/>
    <x v="1"/>
    <x v="163"/>
    <n v="5"/>
    <n v="0.2"/>
    <d v="2025-02-02T00:00:00"/>
    <x v="163"/>
    <x v="10"/>
    <x v="10"/>
    <d v="2025-11-18T22:58:38"/>
    <n v="388.41157928663097"/>
    <n v="6553.7899999999991"/>
    <s v="High Value"/>
  </r>
  <r>
    <s v="CUST015"/>
    <s v="Lisa Thomas"/>
    <x v="1"/>
    <x v="0"/>
    <x v="164"/>
    <n v="9"/>
    <n v="0.1"/>
    <d v="2025-02-04T00:00:00"/>
    <x v="164"/>
    <x v="10"/>
    <x v="10"/>
    <d v="2025-11-18T22:58:38"/>
    <n v="384.23639302710899"/>
    <n v="3074.45"/>
    <s v=""/>
  </r>
  <r>
    <s v="CUST002"/>
    <s v="Lisa Davis"/>
    <x v="0"/>
    <x v="4"/>
    <x v="165"/>
    <n v="7"/>
    <n v="0.1"/>
    <d v="2025-02-05T00:00:00"/>
    <x v="165"/>
    <x v="10"/>
    <x v="10"/>
    <d v="2025-11-18T22:58:38"/>
    <n v="289.214065744224"/>
    <n v="2918.14"/>
    <s v=""/>
  </r>
  <r>
    <s v="CUST024"/>
    <s v="Linda Wilson"/>
    <x v="4"/>
    <x v="1"/>
    <x v="166"/>
    <n v="16"/>
    <n v="0.1"/>
    <d v="2025-02-07T00:00:00"/>
    <x v="166"/>
    <x v="10"/>
    <x v="10"/>
    <d v="2025-11-18T22:58:38"/>
    <n v="259.26149003200641"/>
    <n v="3241.1099999999997"/>
    <s v=""/>
  </r>
  <r>
    <s v="CUST004"/>
    <s v="James Davis"/>
    <x v="1"/>
    <x v="4"/>
    <x v="167"/>
    <n v="6"/>
    <n v="0.1"/>
    <d v="2025-02-10T00:00:00"/>
    <x v="167"/>
    <x v="10"/>
    <x v="10"/>
    <d v="2025-11-18T22:58:38"/>
    <n v="459.03187259054522"/>
    <n v="2122.8200000000002"/>
    <s v=""/>
  </r>
  <r>
    <s v="CUST004"/>
    <s v="Mary Davis"/>
    <x v="2"/>
    <x v="4"/>
    <x v="168"/>
    <n v="19"/>
    <n v="0.1"/>
    <d v="2025-02-15T00:00:00"/>
    <x v="168"/>
    <x v="10"/>
    <x v="10"/>
    <d v="2025-11-18T22:58:38"/>
    <n v="200.12120466183657"/>
    <n v="6553.7899999999991"/>
    <s v="High Value"/>
  </r>
  <r>
    <s v="CUST028"/>
    <s v="James Wilson"/>
    <x v="0"/>
    <x v="2"/>
    <x v="169"/>
    <n v="14"/>
    <n v="0.2"/>
    <d v="2025-02-17T00:00:00"/>
    <x v="169"/>
    <x v="10"/>
    <x v="10"/>
    <d v="2025-11-18T22:58:38"/>
    <n v="390.25006466477345"/>
    <n v="7077.9199999999992"/>
    <s v="High Value"/>
  </r>
  <r>
    <s v="CUST012"/>
    <s v="Lisa Thomas"/>
    <x v="3"/>
    <x v="1"/>
    <x v="170"/>
    <n v="4"/>
    <n v="0"/>
    <d v="2025-02-19T00:00:00"/>
    <x v="170"/>
    <x v="10"/>
    <x v="10"/>
    <d v="2025-11-18T22:58:38"/>
    <n v="295.73647856477135"/>
    <n v="3074.45"/>
    <s v=""/>
  </r>
  <r>
    <s v="CUST026"/>
    <s v="David Brown"/>
    <x v="0"/>
    <x v="2"/>
    <x v="171"/>
    <n v="3"/>
    <n v="0"/>
    <d v="2025-02-20T00:00:00"/>
    <x v="171"/>
    <x v="10"/>
    <x v="10"/>
    <d v="2025-11-18T22:58:38"/>
    <n v="360.27994615314606"/>
    <n v="4061.91"/>
    <s v="High Value"/>
  </r>
  <r>
    <s v="CUST009"/>
    <s v="Mary Davis"/>
    <x v="3"/>
    <x v="0"/>
    <x v="172"/>
    <n v="2"/>
    <n v="0.2"/>
    <d v="2025-02-21T00:00:00"/>
    <x v="172"/>
    <x v="10"/>
    <x v="10"/>
    <d v="2025-11-18T22:58:38"/>
    <n v="416.42742994401146"/>
    <n v="6553.7899999999991"/>
    <s v="High Value"/>
  </r>
  <r>
    <s v="CUST003"/>
    <s v="Sarah Anderson"/>
    <x v="2"/>
    <x v="0"/>
    <x v="173"/>
    <n v="15"/>
    <n v="0.2"/>
    <d v="2025-02-24T00:00:00"/>
    <x v="173"/>
    <x v="10"/>
    <x v="10"/>
    <d v="2025-11-18T22:58:38"/>
    <n v="246.06930487586976"/>
    <n v="2060.81"/>
    <s v=""/>
  </r>
  <r>
    <s v="CUST002"/>
    <s v="Mary Jackson"/>
    <x v="4"/>
    <x v="4"/>
    <x v="174"/>
    <n v="12"/>
    <n v="0.2"/>
    <d v="2025-02-24T00:00:00"/>
    <x v="174"/>
    <x v="10"/>
    <x v="10"/>
    <d v="2025-11-18T22:58:38"/>
    <n v="566.73062672692004"/>
    <n v="2339.64"/>
    <s v=""/>
  </r>
  <r>
    <s v="CUST013"/>
    <s v="Linda Taylor"/>
    <x v="4"/>
    <x v="0"/>
    <x v="175"/>
    <n v="2"/>
    <n v="0.15"/>
    <d v="2025-02-25T00:00:00"/>
    <x v="175"/>
    <x v="10"/>
    <x v="10"/>
    <d v="2025-11-18T22:58:38"/>
    <n v="354.88728961458702"/>
    <n v="2912.54"/>
    <s v=""/>
  </r>
  <r>
    <s v="CUST018"/>
    <s v="Mary Davis"/>
    <x v="4"/>
    <x v="1"/>
    <x v="176"/>
    <n v="18"/>
    <n v="0.2"/>
    <d v="2025-02-27T00:00:00"/>
    <x v="176"/>
    <x v="10"/>
    <x v="10"/>
    <d v="2025-11-18T22:58:38"/>
    <n v="289.11582606752938"/>
    <n v="6553.7899999999991"/>
    <s v="High Value"/>
  </r>
  <r>
    <s v="CUST017"/>
    <s v="Mary Davis"/>
    <x v="4"/>
    <x v="1"/>
    <x v="177"/>
    <n v="8"/>
    <n v="0.1"/>
    <d v="2025-03-01T00:00:00"/>
    <x v="177"/>
    <x v="11"/>
    <x v="11"/>
    <d v="2025-11-18T22:58:38"/>
    <n v="357.62396632250898"/>
    <n v="6553.7899999999991"/>
    <s v="High Value"/>
  </r>
  <r>
    <s v="CUST004"/>
    <s v="Linda Wilson"/>
    <x v="1"/>
    <x v="0"/>
    <x v="178"/>
    <n v="6"/>
    <n v="0"/>
    <d v="2025-03-02T00:00:00"/>
    <x v="178"/>
    <x v="11"/>
    <x v="11"/>
    <d v="2025-11-18T22:58:38"/>
    <n v="384.8012711681032"/>
    <n v="3241.1099999999997"/>
    <s v=""/>
  </r>
  <r>
    <s v="CUST028"/>
    <s v="Sarah Davis"/>
    <x v="3"/>
    <x v="0"/>
    <x v="179"/>
    <n v="8"/>
    <n v="0.1"/>
    <d v="2025-03-05T00:00:00"/>
    <x v="179"/>
    <x v="11"/>
    <x v="11"/>
    <d v="2025-11-18T22:58:38"/>
    <n v="248.25864624220733"/>
    <n v="2039.74"/>
    <s v=""/>
  </r>
  <r>
    <s v="CUST028"/>
    <s v="Mary Wilson"/>
    <x v="3"/>
    <x v="0"/>
    <x v="180"/>
    <n v="15"/>
    <n v="0.2"/>
    <d v="2025-03-08T00:00:00"/>
    <x v="180"/>
    <x v="11"/>
    <x v="11"/>
    <d v="2025-11-18T22:58:38"/>
    <n v="174.10874169705016"/>
    <n v="2285.64"/>
    <s v=""/>
  </r>
  <r>
    <s v="CUST014"/>
    <s v="Emma Davis"/>
    <x v="2"/>
    <x v="0"/>
    <x v="181"/>
    <n v="18"/>
    <n v="0.05"/>
    <d v="2025-03-09T00:00:00"/>
    <x v="181"/>
    <x v="11"/>
    <x v="11"/>
    <d v="2025-11-18T22:58:38"/>
    <n v="372.34588358717633"/>
    <n v="3846.93"/>
    <s v="High Value"/>
  </r>
  <r>
    <s v="CUST003"/>
    <s v="Emma Davis"/>
    <x v="1"/>
    <x v="4"/>
    <x v="182"/>
    <n v="18"/>
    <n v="0.05"/>
    <d v="2025-03-10T00:00:00"/>
    <x v="182"/>
    <x v="11"/>
    <x v="11"/>
    <d v="2025-11-18T22:58:38"/>
    <n v="152.91002289030087"/>
    <n v="3846.93"/>
    <s v="High Value"/>
  </r>
  <r>
    <s v="CUST029"/>
    <s v="David Brown"/>
    <x v="0"/>
    <x v="1"/>
    <x v="183"/>
    <n v="2"/>
    <n v="0.05"/>
    <d v="2025-03-11T00:00:00"/>
    <x v="183"/>
    <x v="11"/>
    <x v="11"/>
    <d v="2025-11-18T22:58:38"/>
    <n v="302.45186217882599"/>
    <n v="4061.91"/>
    <s v="High Value"/>
  </r>
  <r>
    <s v="CUST021"/>
    <s v="David Brown"/>
    <x v="0"/>
    <x v="3"/>
    <x v="184"/>
    <n v="14"/>
    <n v="0.2"/>
    <d v="2025-03-17T00:00:00"/>
    <x v="184"/>
    <x v="11"/>
    <x v="11"/>
    <d v="2025-11-18T22:58:38"/>
    <n v="344.53703796283088"/>
    <n v="4061.91"/>
    <s v="High Value"/>
  </r>
  <r>
    <s v="CUST007"/>
    <s v="David Brown"/>
    <x v="0"/>
    <x v="1"/>
    <x v="185"/>
    <n v="18"/>
    <n v="0"/>
    <d v="2025-03-18T00:00:00"/>
    <x v="185"/>
    <x v="11"/>
    <x v="11"/>
    <d v="2025-11-18T22:58:38"/>
    <n v="522.96835931934243"/>
    <n v="4061.91"/>
    <s v="High Value"/>
  </r>
  <r>
    <s v="CUST009"/>
    <s v="Linda Taylor"/>
    <x v="2"/>
    <x v="1"/>
    <x v="186"/>
    <n v="9"/>
    <n v="0.1"/>
    <d v="2025-03-20T00:00:00"/>
    <x v="186"/>
    <x v="11"/>
    <x v="11"/>
    <d v="2025-11-18T22:58:38"/>
    <n v="240.85909345117219"/>
    <n v="2912.54"/>
    <s v=""/>
  </r>
  <r>
    <s v="CUST023"/>
    <s v="Mary Wilson"/>
    <x v="2"/>
    <x v="1"/>
    <x v="187"/>
    <n v="1"/>
    <n v="0"/>
    <d v="2025-03-22T00:00:00"/>
    <x v="187"/>
    <x v="11"/>
    <x v="11"/>
    <d v="2025-11-18T22:58:38"/>
    <n v="238.33643889604929"/>
    <n v="2285.64"/>
    <s v=""/>
  </r>
  <r>
    <s v="CUST029"/>
    <s v="Michael Anderson"/>
    <x v="3"/>
    <x v="2"/>
    <x v="188"/>
    <n v="15"/>
    <n v="0.2"/>
    <d v="2025-03-25T00:00:00"/>
    <x v="188"/>
    <x v="11"/>
    <x v="11"/>
    <d v="2025-11-18T22:58:38"/>
    <n v="159.84995433680038"/>
    <n v="2535.5100000000002"/>
    <s v=""/>
  </r>
  <r>
    <s v="CUST009"/>
    <s v="Michael Anderson"/>
    <x v="2"/>
    <x v="3"/>
    <x v="189"/>
    <n v="11"/>
    <n v="0.2"/>
    <d v="2025-03-26T00:00:00"/>
    <x v="189"/>
    <x v="11"/>
    <x v="11"/>
    <d v="2025-11-18T22:58:38"/>
    <n v="414.46965352988269"/>
    <n v="2535.5100000000002"/>
    <s v=""/>
  </r>
  <r>
    <s v="CUST007"/>
    <s v="James Davis"/>
    <x v="2"/>
    <x v="1"/>
    <x v="190"/>
    <n v="9"/>
    <n v="0"/>
    <d v="2025-03-27T00:00:00"/>
    <x v="190"/>
    <x v="11"/>
    <x v="11"/>
    <d v="2025-11-18T22:58:38"/>
    <n v="266.36983235283958"/>
    <n v="2122.8200000000002"/>
    <s v=""/>
  </r>
  <r>
    <s v="CUST030"/>
    <s v="Linda Taylor"/>
    <x v="3"/>
    <x v="0"/>
    <x v="191"/>
    <n v="10"/>
    <n v="0.15"/>
    <d v="2025-03-27T00:00:00"/>
    <x v="191"/>
    <x v="11"/>
    <x v="11"/>
    <d v="2025-11-18T22:58:38"/>
    <n v="262.35954840776935"/>
    <n v="2912.54"/>
    <s v=""/>
  </r>
  <r>
    <s v="CUST018"/>
    <s v="David Anderson"/>
    <x v="4"/>
    <x v="1"/>
    <x v="192"/>
    <n v="14"/>
    <n v="0.05"/>
    <d v="2025-03-29T00:00:00"/>
    <x v="192"/>
    <x v="11"/>
    <x v="11"/>
    <d v="2025-11-18T22:58:38"/>
    <n v="510.1445729508107"/>
    <n v="1937.8500000000001"/>
    <s v=""/>
  </r>
  <r>
    <s v="CUST008"/>
    <s v="Emma Wilson"/>
    <x v="1"/>
    <x v="3"/>
    <x v="193"/>
    <n v="17"/>
    <n v="0.1"/>
    <d v="2025-03-29T00:00:00"/>
    <x v="193"/>
    <x v="11"/>
    <x v="11"/>
    <d v="2025-11-18T22:58:38"/>
    <n v="382.58736988259199"/>
    <n v="2718.8399999999997"/>
    <s v=""/>
  </r>
  <r>
    <s v="CUST014"/>
    <s v="Sarah Anderson"/>
    <x v="0"/>
    <x v="1"/>
    <x v="194"/>
    <n v="8"/>
    <n v="0.15"/>
    <d v="2025-03-30T00:00:00"/>
    <x v="194"/>
    <x v="11"/>
    <x v="11"/>
    <d v="2025-11-18T22:58:38"/>
    <n v="326.76267360086598"/>
    <n v="2060.81"/>
    <s v=""/>
  </r>
  <r>
    <s v="CUST024"/>
    <s v="David Thomas"/>
    <x v="4"/>
    <x v="1"/>
    <x v="195"/>
    <n v="8"/>
    <n v="0.2"/>
    <d v="2025-03-30T00:00:00"/>
    <x v="195"/>
    <x v="11"/>
    <x v="11"/>
    <d v="2025-11-18T22:58:38"/>
    <n v="513.09527181153157"/>
    <n v="2919.45"/>
    <s v=""/>
  </r>
  <r>
    <s v="CUST028"/>
    <s v="Robert Anderson"/>
    <x v="2"/>
    <x v="4"/>
    <x v="196"/>
    <n v="3"/>
    <n v="0"/>
    <d v="2025-04-02T00:00:00"/>
    <x v="196"/>
    <x v="12"/>
    <x v="12"/>
    <d v="2025-11-18T22:58:38"/>
    <n v="258.88256556475562"/>
    <n v="2765.53"/>
    <s v=""/>
  </r>
  <r>
    <s v="CUST015"/>
    <s v="Sarah Anderson"/>
    <x v="0"/>
    <x v="4"/>
    <x v="197"/>
    <n v="17"/>
    <n v="0"/>
    <d v="2025-04-05T00:00:00"/>
    <x v="197"/>
    <x v="12"/>
    <x v="12"/>
    <d v="2025-11-18T22:58:38"/>
    <n v="190.33933971095655"/>
    <n v="2060.81"/>
    <s v=""/>
  </r>
  <r>
    <s v="CUST010"/>
    <s v="David Thomas"/>
    <x v="1"/>
    <x v="0"/>
    <x v="198"/>
    <n v="8"/>
    <n v="0.05"/>
    <d v="2025-04-05T00:00:00"/>
    <x v="198"/>
    <x v="12"/>
    <x v="12"/>
    <d v="2025-11-18T22:58:38"/>
    <n v="348.98589189314504"/>
    <n v="2919.45"/>
    <s v=""/>
  </r>
  <r>
    <s v="CUST016"/>
    <s v="David Thomas"/>
    <x v="2"/>
    <x v="1"/>
    <x v="199"/>
    <n v="2"/>
    <n v="0.05"/>
    <d v="2025-04-07T00:00:00"/>
    <x v="199"/>
    <x v="12"/>
    <x v="12"/>
    <d v="2025-11-18T22:58:38"/>
    <n v="324.67508047110505"/>
    <n v="2919.45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47FC4F-5385-4F63-9A34-0F27723EA15A}" name="Sales_by_category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W40:X46" firstHeaderRow="1" firstDataRow="1" firstDataCol="1"/>
  <pivotFields count="15"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showAll="0"/>
    <pivotField numFmtId="22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3961E-CEC6-4961-AA82-2D6720621837}" name="Tot_sales_by_month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0">
  <location ref="T40:U54" firstHeaderRow="1" firstDataRow="1" firstDataCol="1"/>
  <pivotFields count="15">
    <pivotField showAll="0"/>
    <pivotField showAll="0"/>
    <pivotField showAll="0"/>
    <pivotField showAll="0"/>
    <pivotField showAll="0">
      <items count="201">
        <item x="129"/>
        <item x="148"/>
        <item x="145"/>
        <item x="156"/>
        <item x="143"/>
        <item x="21"/>
        <item x="182"/>
        <item x="188"/>
        <item x="35"/>
        <item x="61"/>
        <item x="180"/>
        <item x="8"/>
        <item x="137"/>
        <item x="77"/>
        <item x="14"/>
        <item x="72"/>
        <item x="197"/>
        <item x="42"/>
        <item x="168"/>
        <item x="39"/>
        <item x="162"/>
        <item x="100"/>
        <item x="70"/>
        <item x="17"/>
        <item x="161"/>
        <item x="19"/>
        <item x="114"/>
        <item x="147"/>
        <item x="26"/>
        <item x="80"/>
        <item x="187"/>
        <item x="115"/>
        <item x="186"/>
        <item x="111"/>
        <item x="173"/>
        <item x="23"/>
        <item x="125"/>
        <item x="179"/>
        <item x="2"/>
        <item x="123"/>
        <item x="91"/>
        <item x="108"/>
        <item x="9"/>
        <item x="196"/>
        <item x="57"/>
        <item x="166"/>
        <item x="22"/>
        <item x="150"/>
        <item x="191"/>
        <item x="3"/>
        <item x="190"/>
        <item x="113"/>
        <item x="38"/>
        <item x="49"/>
        <item x="82"/>
        <item x="29"/>
        <item x="73"/>
        <item x="69"/>
        <item x="138"/>
        <item x="54"/>
        <item x="136"/>
        <item x="13"/>
        <item x="98"/>
        <item x="176"/>
        <item x="165"/>
        <item x="135"/>
        <item x="43"/>
        <item x="36"/>
        <item x="170"/>
        <item x="4"/>
        <item x="32"/>
        <item x="132"/>
        <item x="45"/>
        <item x="152"/>
        <item x="183"/>
        <item x="151"/>
        <item x="86"/>
        <item x="92"/>
        <item x="66"/>
        <item x="16"/>
        <item x="149"/>
        <item x="134"/>
        <item x="99"/>
        <item x="95"/>
        <item x="55"/>
        <item x="128"/>
        <item x="103"/>
        <item x="24"/>
        <item x="199"/>
        <item x="62"/>
        <item x="194"/>
        <item x="27"/>
        <item x="53"/>
        <item x="20"/>
        <item x="119"/>
        <item x="105"/>
        <item x="5"/>
        <item x="94"/>
        <item x="33"/>
        <item x="56"/>
        <item x="110"/>
        <item x="71"/>
        <item x="28"/>
        <item x="184"/>
        <item x="101"/>
        <item x="198"/>
        <item x="47"/>
        <item x="63"/>
        <item x="118"/>
        <item x="102"/>
        <item x="117"/>
        <item x="175"/>
        <item x="122"/>
        <item x="68"/>
        <item x="50"/>
        <item x="177"/>
        <item x="31"/>
        <item x="41"/>
        <item x="171"/>
        <item x="65"/>
        <item x="0"/>
        <item x="154"/>
        <item x="133"/>
        <item x="181"/>
        <item x="83"/>
        <item x="7"/>
        <item x="157"/>
        <item x="120"/>
        <item x="106"/>
        <item x="52"/>
        <item x="193"/>
        <item x="164"/>
        <item x="178"/>
        <item x="64"/>
        <item x="1"/>
        <item x="90"/>
        <item x="163"/>
        <item x="78"/>
        <item x="169"/>
        <item x="159"/>
        <item x="81"/>
        <item x="131"/>
        <item x="40"/>
        <item x="88"/>
        <item x="93"/>
        <item x="142"/>
        <item x="121"/>
        <item x="84"/>
        <item x="153"/>
        <item x="96"/>
        <item x="25"/>
        <item x="189"/>
        <item x="48"/>
        <item x="172"/>
        <item x="12"/>
        <item x="112"/>
        <item x="34"/>
        <item x="97"/>
        <item x="130"/>
        <item x="75"/>
        <item x="46"/>
        <item x="51"/>
        <item x="44"/>
        <item x="141"/>
        <item x="58"/>
        <item x="116"/>
        <item x="158"/>
        <item x="76"/>
        <item x="89"/>
        <item x="124"/>
        <item x="104"/>
        <item x="79"/>
        <item x="109"/>
        <item x="167"/>
        <item x="6"/>
        <item x="85"/>
        <item x="11"/>
        <item x="127"/>
        <item x="146"/>
        <item x="59"/>
        <item x="67"/>
        <item x="60"/>
        <item x="37"/>
        <item x="126"/>
        <item x="139"/>
        <item x="87"/>
        <item x="30"/>
        <item x="192"/>
        <item x="195"/>
        <item x="140"/>
        <item x="185"/>
        <item x="15"/>
        <item x="18"/>
        <item x="74"/>
        <item x="10"/>
        <item x="144"/>
        <item x="174"/>
        <item x="160"/>
        <item x="155"/>
        <item x="107"/>
        <item t="default"/>
      </items>
    </pivotField>
    <pivotField showAll="0"/>
    <pivotField showAll="0"/>
    <pivotField numFmtId="14" showAll="0"/>
    <pivotField showAll="0">
      <items count="201">
        <item x="129"/>
        <item x="21"/>
        <item x="188"/>
        <item x="148"/>
        <item x="72"/>
        <item x="137"/>
        <item x="145"/>
        <item x="70"/>
        <item x="57"/>
        <item x="125"/>
        <item x="35"/>
        <item x="14"/>
        <item x="180"/>
        <item x="29"/>
        <item x="19"/>
        <item x="3"/>
        <item x="143"/>
        <item x="115"/>
        <item x="77"/>
        <item x="54"/>
        <item x="49"/>
        <item x="23"/>
        <item x="82"/>
        <item x="134"/>
        <item x="123"/>
        <item x="156"/>
        <item x="182"/>
        <item x="8"/>
        <item x="113"/>
        <item x="128"/>
        <item x="39"/>
        <item x="63"/>
        <item x="102"/>
        <item x="17"/>
        <item x="161"/>
        <item x="100"/>
        <item x="42"/>
        <item x="45"/>
        <item x="33"/>
        <item x="61"/>
        <item x="169"/>
        <item x="173"/>
        <item x="91"/>
        <item x="136"/>
        <item x="38"/>
        <item x="103"/>
        <item x="93"/>
        <item x="168"/>
        <item x="142"/>
        <item x="26"/>
        <item x="68"/>
        <item x="50"/>
        <item x="197"/>
        <item x="32"/>
        <item x="191"/>
        <item x="179"/>
        <item x="55"/>
        <item x="73"/>
        <item x="171"/>
        <item x="75"/>
        <item x="64"/>
        <item x="162"/>
        <item x="114"/>
        <item x="133"/>
        <item x="138"/>
        <item x="132"/>
        <item x="4"/>
        <item x="80"/>
        <item x="13"/>
        <item x="184"/>
        <item x="2"/>
        <item x="152"/>
        <item x="25"/>
        <item x="62"/>
        <item x="22"/>
        <item x="98"/>
        <item x="16"/>
        <item x="15"/>
        <item x="7"/>
        <item x="150"/>
        <item x="43"/>
        <item x="5"/>
        <item x="74"/>
        <item x="86"/>
        <item x="105"/>
        <item x="65"/>
        <item x="186"/>
        <item x="6"/>
        <item x="111"/>
        <item x="147"/>
        <item x="140"/>
        <item x="119"/>
        <item x="149"/>
        <item x="30"/>
        <item x="108"/>
        <item x="94"/>
        <item x="176"/>
        <item x="0"/>
        <item x="189"/>
        <item x="154"/>
        <item x="48"/>
        <item x="66"/>
        <item x="196"/>
        <item x="166"/>
        <item x="85"/>
        <item x="92"/>
        <item x="165"/>
        <item x="155"/>
        <item x="53"/>
        <item x="187"/>
        <item x="118"/>
        <item x="69"/>
        <item x="193"/>
        <item x="175"/>
        <item x="90"/>
        <item x="96"/>
        <item x="9"/>
        <item x="126"/>
        <item x="110"/>
        <item x="112"/>
        <item x="135"/>
        <item x="27"/>
        <item x="120"/>
        <item x="36"/>
        <item x="44"/>
        <item x="95"/>
        <item x="106"/>
        <item x="41"/>
        <item x="24"/>
        <item x="198"/>
        <item x="52"/>
        <item x="172"/>
        <item x="190"/>
        <item x="31"/>
        <item x="56"/>
        <item x="164"/>
        <item x="194"/>
        <item x="28"/>
        <item x="81"/>
        <item x="181"/>
        <item x="83"/>
        <item x="183"/>
        <item x="122"/>
        <item x="151"/>
        <item x="40"/>
        <item x="170"/>
        <item x="139"/>
        <item x="117"/>
        <item x="131"/>
        <item x="178"/>
        <item x="1"/>
        <item x="199"/>
        <item x="76"/>
        <item x="88"/>
        <item x="71"/>
        <item x="163"/>
        <item x="101"/>
        <item x="159"/>
        <item x="58"/>
        <item x="104"/>
        <item x="47"/>
        <item x="99"/>
        <item x="12"/>
        <item x="67"/>
        <item x="11"/>
        <item x="177"/>
        <item x="130"/>
        <item x="46"/>
        <item x="37"/>
        <item x="127"/>
        <item x="116"/>
        <item x="20"/>
        <item x="89"/>
        <item x="18"/>
        <item x="157"/>
        <item x="146"/>
        <item x="141"/>
        <item x="60"/>
        <item x="78"/>
        <item x="124"/>
        <item x="34"/>
        <item x="84"/>
        <item x="167"/>
        <item x="97"/>
        <item x="51"/>
        <item x="109"/>
        <item x="153"/>
        <item x="158"/>
        <item x="79"/>
        <item x="121"/>
        <item x="174"/>
        <item x="195"/>
        <item x="160"/>
        <item x="87"/>
        <item x="10"/>
        <item x="144"/>
        <item x="59"/>
        <item x="192"/>
        <item x="185"/>
        <item x="107"/>
        <item t="default"/>
      </items>
    </pivotField>
    <pivotField axis="axisRow" showAll="0">
      <items count="14">
        <item x="0"/>
        <item x="12"/>
        <item x="4"/>
        <item x="8"/>
        <item x="10"/>
        <item x="9"/>
        <item x="3"/>
        <item x="2"/>
        <item x="11"/>
        <item x="1"/>
        <item x="7"/>
        <item x="6"/>
        <item x="5"/>
        <item t="default"/>
      </items>
    </pivotField>
    <pivotField dataField="1" showAll="0">
      <items count="14">
        <item x="12"/>
        <item x="4"/>
        <item x="8"/>
        <item x="3"/>
        <item x="10"/>
        <item x="6"/>
        <item x="9"/>
        <item x="11"/>
        <item x="1"/>
        <item x="0"/>
        <item x="7"/>
        <item x="2"/>
        <item x="5"/>
        <item t="default"/>
      </items>
    </pivotField>
    <pivotField numFmtId="22" showAll="0"/>
    <pivotField showAll="0"/>
    <pivotField showAll="0"/>
    <pivotField showAll="0"/>
  </pivotFields>
  <rowFields count="1">
    <field x="9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Month_Total_Sales" fld="10" baseField="9" baseItem="0"/>
  </dataFields>
  <chartFormats count="4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9CE9E-DC2D-4474-AC59-5496FBB6E3F9}" name="Sales_by_region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Q40:R46" firstHeaderRow="1" firstDataRow="1" firstDataCol="1"/>
  <pivotFields count="15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numFmtId="14" showAll="0"/>
    <pivotField showAll="0"/>
    <pivotField showAll="0"/>
    <pivotField showAll="0"/>
    <pivotField numFmtId="22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EC0D0-9010-4148-993C-820CF2D664D5}" name="Tot_sales_by_region&amp;products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Q29:W36" firstHeaderRow="1" firstDataRow="2" firstDataCol="1"/>
  <pivotFields count="15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dataField="1" showAll="0"/>
    <pivotField showAll="0"/>
    <pivotField showAll="0"/>
    <pivotField numFmtId="14" showAll="0"/>
    <pivotField showAll="0"/>
    <pivotField showAll="0"/>
    <pivotField showAll="0"/>
    <pivotField numFmtId="22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F05EE1-E137-4DB1-9AA0-8DFE9799C578}" name="RawData" displayName="RawData" ref="A1:O201" totalsRowShown="0" headerRowDxfId="20" dataDxfId="19" headerRowBorderDxfId="17" tableBorderDxfId="18" totalsRowBorderDxfId="16">
  <autoFilter ref="A1:O201" xr:uid="{08F05EE1-E137-4DB1-9AA0-8DFE9799C578}"/>
  <tableColumns count="15">
    <tableColumn id="1" xr3:uid="{0A1ACB8F-15E7-4AD0-9562-59AA5FE90091}" name="Customer_ID" dataDxfId="15"/>
    <tableColumn id="2" xr3:uid="{69967669-566E-4BB4-AF1B-8DD513BBC3E0}" name="Customer_Name" dataDxfId="14"/>
    <tableColumn id="3" xr3:uid="{2D2B27F5-E034-4F8A-8B27-80775DD4A7C3}" name="Region" dataDxfId="13"/>
    <tableColumn id="4" xr3:uid="{8CB635FF-605D-4A86-8F41-A80EC105833B}" name="Product_Category" dataDxfId="12"/>
    <tableColumn id="5" xr3:uid="{39CA26A3-B281-4C36-A11C-DF54AE90C7EA}" name="Sales" dataDxfId="11"/>
    <tableColumn id="6" xr3:uid="{D4FD76F3-89B3-4008-8897-9F471E6CDDB6}" name="Quantity" dataDxfId="10"/>
    <tableColumn id="7" xr3:uid="{EC3576D8-2783-4AFA-B57B-E363C19950D4}" name="Discount" dataDxfId="9"/>
    <tableColumn id="8" xr3:uid="{A0DC4B11-A6A2-40DA-AFDC-A9B636B1F0DA}" name="Order_Date" dataDxfId="8"/>
    <tableColumn id="9" xr3:uid="{C8939EF6-EE5F-4AFB-9930-8FEC0B7B9F9D}" name="Profit" dataDxfId="7"/>
    <tableColumn id="10" xr3:uid="{E23CB85E-6890-4FDC-8E5F-AE6F84760A55}" name="Sales_Month" dataDxfId="6">
      <calculatedColumnFormula>TEXT(H2,"MMM-YY")</calculatedColumnFormula>
    </tableColumn>
    <tableColumn id="11" xr3:uid="{B5BF7632-71E8-4FE2-B5CC-7DF178EC95EB}" name="Month_Total_Sales" dataDxfId="5">
      <calculatedColumnFormula>SUMIFS($E:$E, $J:$J, J2)</calculatedColumnFormula>
    </tableColumn>
    <tableColumn id="12" xr3:uid="{1E4B7A71-33B6-4251-B7F1-49627510D257}" name="Timestamp" dataDxfId="4">
      <calculatedColumnFormula>NOW()</calculatedColumnFormula>
    </tableColumn>
    <tableColumn id="13" xr3:uid="{878A89F1-5A75-4ED5-95D4-A463DAF38B30}" name="Estimate Profit" dataDxfId="3">
      <calculatedColumnFormula>$S$13*E2+$S$14</calculatedColumnFormula>
    </tableColumn>
    <tableColumn id="14" xr3:uid="{67BABA12-6EFE-49B1-9ADF-F01C8930904B}" name="Total_Profit_Per_Customer" dataDxfId="2">
      <calculatedColumnFormula array="1">SUM(_xlfn._xlws.FILTER($I:$I, $B:$B=B2))</calculatedColumnFormula>
    </tableColumn>
    <tableColumn id="15" xr3:uid="{DF93F794-AEDC-4171-AFFD-91022A6C0F64}" name="High_Value_Customers" dataDxfId="1">
      <calculatedColumnFormula>IF(N2 &gt; AVERAGE($N:$N), "High Value", 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F1B7-6A9F-40B1-981B-D2619312E487}">
  <dimension ref="A1:HM201"/>
  <sheetViews>
    <sheetView topLeftCell="N55" zoomScale="80" zoomScaleNormal="80" workbookViewId="0">
      <selection activeCell="P77" sqref="P77"/>
    </sheetView>
  </sheetViews>
  <sheetFormatPr defaultRowHeight="14.5" x14ac:dyDescent="0.35"/>
  <cols>
    <col min="1" max="1" width="14" style="9" customWidth="1"/>
    <col min="2" max="2" width="17.26953125" style="9" customWidth="1"/>
    <col min="3" max="3" width="8.7265625" style="9" customWidth="1"/>
    <col min="4" max="4" width="18.453125" style="9" customWidth="1"/>
    <col min="5" max="5" width="8.7265625" style="9"/>
    <col min="6" max="6" width="9.08984375" style="9" customWidth="1"/>
    <col min="7" max="7" width="9.453125" style="9" customWidth="1"/>
    <col min="8" max="8" width="16.54296875" style="9" bestFit="1" customWidth="1"/>
    <col min="9" max="9" width="11.453125" style="9" bestFit="1" customWidth="1"/>
    <col min="10" max="10" width="17.90625" style="9" customWidth="1"/>
    <col min="11" max="11" width="23.54296875" style="9" bestFit="1" customWidth="1"/>
    <col min="12" max="12" width="16.26953125" style="9" bestFit="1" customWidth="1"/>
    <col min="13" max="13" width="19.453125" style="9" bestFit="1" customWidth="1"/>
    <col min="14" max="14" width="13" style="9" customWidth="1"/>
    <col min="15" max="15" width="11" style="9" customWidth="1"/>
    <col min="16" max="16" width="11.6328125" style="9" customWidth="1"/>
    <col min="17" max="17" width="13.36328125" style="9" bestFit="1" customWidth="1"/>
    <col min="18" max="18" width="11.90625" style="9" bestFit="1" customWidth="1"/>
    <col min="19" max="19" width="9.1796875" style="9" bestFit="1" customWidth="1"/>
    <col min="20" max="20" width="13.36328125" style="9" bestFit="1" customWidth="1"/>
    <col min="21" max="21" width="24.54296875" style="9" bestFit="1" customWidth="1"/>
    <col min="22" max="22" width="9.1796875" style="9" bestFit="1" customWidth="1"/>
    <col min="23" max="23" width="13.36328125" style="9" bestFit="1" customWidth="1"/>
    <col min="24" max="24" width="11.90625" style="9" bestFit="1" customWidth="1"/>
    <col min="25" max="33" width="9.1796875" style="9" bestFit="1" customWidth="1"/>
    <col min="34" max="34" width="8.1796875" style="9" bestFit="1" customWidth="1"/>
    <col min="35" max="35" width="9.1796875" style="9" bestFit="1" customWidth="1"/>
    <col min="36" max="37" width="8.1796875" style="9" bestFit="1" customWidth="1"/>
    <col min="38" max="41" width="9.1796875" style="9" bestFit="1" customWidth="1"/>
    <col min="42" max="42" width="8.1796875" style="9" bestFit="1" customWidth="1"/>
    <col min="43" max="49" width="9.1796875" style="9" bestFit="1" customWidth="1"/>
    <col min="50" max="50" width="8.1796875" style="9" bestFit="1" customWidth="1"/>
    <col min="51" max="60" width="9.1796875" style="9" bestFit="1" customWidth="1"/>
    <col min="61" max="61" width="8.1796875" style="9" bestFit="1" customWidth="1"/>
    <col min="62" max="63" width="9.1796875" style="9" bestFit="1" customWidth="1"/>
    <col min="64" max="64" width="8.1796875" style="9" bestFit="1" customWidth="1"/>
    <col min="65" max="74" width="9.1796875" style="9" bestFit="1" customWidth="1"/>
    <col min="75" max="75" width="8.1796875" style="9" bestFit="1" customWidth="1"/>
    <col min="76" max="76" width="9.1796875" style="9" bestFit="1" customWidth="1"/>
    <col min="77" max="77" width="8.1796875" style="9" bestFit="1" customWidth="1"/>
    <col min="78" max="82" width="9.1796875" style="9" bestFit="1" customWidth="1"/>
    <col min="83" max="83" width="8.1796875" style="9" bestFit="1" customWidth="1"/>
    <col min="84" max="96" width="9.1796875" style="9" bestFit="1" customWidth="1"/>
    <col min="97" max="98" width="8.1796875" style="9" bestFit="1" customWidth="1"/>
    <col min="99" max="102" width="9.1796875" style="9" bestFit="1" customWidth="1"/>
    <col min="103" max="104" width="8.1796875" style="9" bestFit="1" customWidth="1"/>
    <col min="105" max="108" width="9.1796875" style="9" bestFit="1" customWidth="1"/>
    <col min="109" max="109" width="8.1796875" style="9" bestFit="1" customWidth="1"/>
    <col min="110" max="117" width="9.1796875" style="9" bestFit="1" customWidth="1"/>
    <col min="118" max="118" width="8.1796875" style="9" bestFit="1" customWidth="1"/>
    <col min="119" max="124" width="9.1796875" style="9" bestFit="1" customWidth="1"/>
    <col min="125" max="126" width="8.1796875" style="9" bestFit="1" customWidth="1"/>
    <col min="127" max="144" width="9.1796875" style="9" bestFit="1" customWidth="1"/>
    <col min="145" max="145" width="8.1796875" style="9" bestFit="1" customWidth="1"/>
    <col min="146" max="155" width="9.1796875" style="9" bestFit="1" customWidth="1"/>
    <col min="156" max="156" width="8.1796875" style="9" bestFit="1" customWidth="1"/>
    <col min="157" max="157" width="9.1796875" style="9" bestFit="1" customWidth="1"/>
    <col min="158" max="158" width="8.1796875" style="9" bestFit="1" customWidth="1"/>
    <col min="159" max="160" width="9.1796875" style="9" bestFit="1" customWidth="1"/>
    <col min="161" max="161" width="8.1796875" style="9" bestFit="1" customWidth="1"/>
    <col min="162" max="163" width="9.1796875" style="9" bestFit="1" customWidth="1"/>
    <col min="164" max="165" width="8.1796875" style="9" bestFit="1" customWidth="1"/>
    <col min="166" max="167" width="9.1796875" style="9" bestFit="1" customWidth="1"/>
    <col min="168" max="168" width="8.1796875" style="9" bestFit="1" customWidth="1"/>
    <col min="169" max="169" width="9.1796875" style="9" bestFit="1" customWidth="1"/>
    <col min="170" max="170" width="8.1796875" style="9" bestFit="1" customWidth="1"/>
    <col min="171" max="177" width="9.1796875" style="9" bestFit="1" customWidth="1"/>
    <col min="178" max="178" width="8.1796875" style="9" bestFit="1" customWidth="1"/>
    <col min="179" max="179" width="9.1796875" style="9" bestFit="1" customWidth="1"/>
    <col min="180" max="180" width="8.1796875" style="9" bestFit="1" customWidth="1"/>
    <col min="181" max="187" width="9.1796875" style="9" bestFit="1" customWidth="1"/>
    <col min="188" max="189" width="8.1796875" style="9" bestFit="1" customWidth="1"/>
    <col min="190" max="191" width="9.1796875" style="9" bestFit="1" customWidth="1"/>
    <col min="192" max="192" width="8.1796875" style="9" bestFit="1" customWidth="1"/>
    <col min="193" max="195" width="9.1796875" style="9" bestFit="1" customWidth="1"/>
    <col min="196" max="196" width="8.1796875" style="9" bestFit="1" customWidth="1"/>
    <col min="197" max="205" width="9.1796875" style="9" bestFit="1" customWidth="1"/>
    <col min="206" max="206" width="8.1796875" style="9" bestFit="1" customWidth="1"/>
    <col min="207" max="213" width="9.1796875" style="9" bestFit="1" customWidth="1"/>
    <col min="214" max="214" width="8.1796875" style="9" bestFit="1" customWidth="1"/>
    <col min="215" max="220" width="9.1796875" style="9" bestFit="1" customWidth="1"/>
    <col min="221" max="221" width="11.26953125" style="9" bestFit="1" customWidth="1"/>
    <col min="222" max="16384" width="8.7265625" style="9"/>
  </cols>
  <sheetData>
    <row r="1" spans="1:22" ht="26" customHeight="1" thickBot="1" x14ac:dyDescent="0.4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6" t="s">
        <v>8</v>
      </c>
      <c r="J1" s="15" t="s">
        <v>80</v>
      </c>
      <c r="K1" s="15" t="s">
        <v>81</v>
      </c>
      <c r="L1" s="9" t="s">
        <v>93</v>
      </c>
      <c r="M1" s="15" t="s">
        <v>83</v>
      </c>
      <c r="N1" s="13" t="s">
        <v>94</v>
      </c>
      <c r="O1" s="13" t="s">
        <v>95</v>
      </c>
      <c r="Q1" s="23" t="s">
        <v>82</v>
      </c>
      <c r="R1" s="23"/>
      <c r="S1" s="23"/>
    </row>
    <row r="2" spans="1:22" ht="15" thickBot="1" x14ac:dyDescent="0.4">
      <c r="A2" s="3" t="s">
        <v>9</v>
      </c>
      <c r="B2" s="1" t="s">
        <v>10</v>
      </c>
      <c r="C2" s="1" t="s">
        <v>11</v>
      </c>
      <c r="D2" s="1" t="s">
        <v>12</v>
      </c>
      <c r="E2" s="1">
        <v>1036.0899999999999</v>
      </c>
      <c r="F2" s="1">
        <v>4</v>
      </c>
      <c r="G2" s="1">
        <v>0.2</v>
      </c>
      <c r="H2" s="2">
        <v>45392</v>
      </c>
      <c r="I2" s="4">
        <v>331.55</v>
      </c>
      <c r="J2" s="18" t="str">
        <f t="shared" ref="J2:J33" si="0">TEXT(H2,"MMM-YY")</f>
        <v>Apr-24</v>
      </c>
      <c r="K2" s="20">
        <f t="shared" ref="K2:K33" si="1">SUMIFS($E:$E, $J:$J, J2)</f>
        <v>19029.96</v>
      </c>
      <c r="L2" s="30">
        <f t="shared" ref="L2:L33" ca="1" si="2">NOW()</f>
        <v>45979.997659837965</v>
      </c>
      <c r="M2" s="20">
        <f t="shared" ref="M2:M33" si="3">$S$13*E2+$S$14</f>
        <v>362.48683031889334</v>
      </c>
      <c r="N2" s="20" cm="1">
        <f t="array" ref="N2">SUM(_xlfn._xlws.FILTER($I:$I, $B:$B=B2))</f>
        <v>2122.8200000000002</v>
      </c>
      <c r="O2" s="31" t="str">
        <f t="shared" ref="O2:O33" si="4">IF(N2 &gt; AVERAGE($N:$N), "High Value", "")</f>
        <v/>
      </c>
      <c r="Q2" s="24" t="s">
        <v>4</v>
      </c>
      <c r="R2" s="24" t="s">
        <v>8</v>
      </c>
      <c r="S2" s="24" t="s">
        <v>83</v>
      </c>
      <c r="T2" s="21"/>
    </row>
    <row r="3" spans="1:22" ht="15" thickBot="1" x14ac:dyDescent="0.4">
      <c r="A3" s="3" t="s">
        <v>13</v>
      </c>
      <c r="B3" s="1" t="s">
        <v>14</v>
      </c>
      <c r="C3" s="1" t="s">
        <v>11</v>
      </c>
      <c r="D3" s="1" t="s">
        <v>15</v>
      </c>
      <c r="E3" s="1">
        <v>1101.28</v>
      </c>
      <c r="F3" s="1">
        <v>3</v>
      </c>
      <c r="G3" s="1">
        <v>0.2</v>
      </c>
      <c r="H3" s="2">
        <v>45393</v>
      </c>
      <c r="I3" s="4">
        <v>440.51</v>
      </c>
      <c r="J3" s="17" t="str">
        <f t="shared" si="0"/>
        <v>Apr-24</v>
      </c>
      <c r="K3" s="20">
        <f t="shared" si="1"/>
        <v>19029.96</v>
      </c>
      <c r="L3" s="30">
        <f t="shared" ca="1" si="2"/>
        <v>45979.997659837965</v>
      </c>
      <c r="M3" s="20">
        <f t="shared" si="3"/>
        <v>385.35913218933342</v>
      </c>
      <c r="N3" s="20" cm="1">
        <f t="array" ref="N3">SUM(_xlfn._xlws.FILTER($I:$I, $B:$B=B3))</f>
        <v>2765.53</v>
      </c>
      <c r="O3" s="31" t="str">
        <f t="shared" si="4"/>
        <v/>
      </c>
      <c r="Q3" s="22">
        <v>500</v>
      </c>
      <c r="R3" s="22">
        <v>150</v>
      </c>
      <c r="S3" s="25">
        <f>$S$13*Q3+$S$14</f>
        <v>174.39644360737017</v>
      </c>
      <c r="V3" s="21"/>
    </row>
    <row r="4" spans="1:22" ht="15" thickBot="1" x14ac:dyDescent="0.4">
      <c r="A4" s="3" t="s">
        <v>16</v>
      </c>
      <c r="B4" s="1" t="s">
        <v>17</v>
      </c>
      <c r="C4" s="1" t="s">
        <v>18</v>
      </c>
      <c r="D4" s="1" t="s">
        <v>12</v>
      </c>
      <c r="E4" s="1">
        <v>713.34</v>
      </c>
      <c r="F4" s="1">
        <v>17</v>
      </c>
      <c r="G4" s="1">
        <v>0</v>
      </c>
      <c r="H4" s="2">
        <v>45396</v>
      </c>
      <c r="I4" s="4">
        <v>285.33999999999997</v>
      </c>
      <c r="J4" s="17" t="str">
        <f t="shared" si="0"/>
        <v>Apr-24</v>
      </c>
      <c r="K4" s="20">
        <f t="shared" si="1"/>
        <v>19029.96</v>
      </c>
      <c r="L4" s="30">
        <f t="shared" ca="1" si="2"/>
        <v>45979.997659837965</v>
      </c>
      <c r="M4" s="20">
        <f t="shared" si="3"/>
        <v>249.24806012891761</v>
      </c>
      <c r="N4" s="20" cm="1">
        <f t="array" ref="N4">SUM(_xlfn._xlws.FILTER($I:$I, $B:$B=B4))</f>
        <v>2203.6800000000003</v>
      </c>
      <c r="O4" s="31" t="str">
        <f t="shared" si="4"/>
        <v/>
      </c>
      <c r="Q4" s="22">
        <v>700</v>
      </c>
      <c r="R4" s="22">
        <v>300</v>
      </c>
      <c r="S4" s="25">
        <f t="shared" ref="S4:S11" si="5">$S$13*Q4+$S$14</f>
        <v>244.56764124639466</v>
      </c>
    </row>
    <row r="5" spans="1:22" ht="15" thickBot="1" x14ac:dyDescent="0.4">
      <c r="A5" s="3" t="s">
        <v>19</v>
      </c>
      <c r="B5" s="1" t="s">
        <v>14</v>
      </c>
      <c r="C5" s="1" t="s">
        <v>20</v>
      </c>
      <c r="D5" s="1" t="s">
        <v>21</v>
      </c>
      <c r="E5" s="1">
        <v>760.93</v>
      </c>
      <c r="F5" s="1">
        <v>4</v>
      </c>
      <c r="G5" s="1">
        <v>0.15</v>
      </c>
      <c r="H5" s="2">
        <v>45396</v>
      </c>
      <c r="I5" s="4">
        <v>161.69999999999999</v>
      </c>
      <c r="J5" s="17" t="str">
        <f t="shared" si="0"/>
        <v>Apr-24</v>
      </c>
      <c r="K5" s="20">
        <f t="shared" si="1"/>
        <v>19029.96</v>
      </c>
      <c r="L5" s="30">
        <f t="shared" ca="1" si="2"/>
        <v>45979.997659837965</v>
      </c>
      <c r="M5" s="20">
        <f t="shared" si="3"/>
        <v>265.94529660712345</v>
      </c>
      <c r="N5" s="20" cm="1">
        <f t="array" ref="N5">SUM(_xlfn._xlws.FILTER($I:$I, $B:$B=B5))</f>
        <v>2765.53</v>
      </c>
      <c r="O5" s="31" t="str">
        <f t="shared" si="4"/>
        <v/>
      </c>
      <c r="Q5" s="22">
        <v>800</v>
      </c>
      <c r="R5" s="22">
        <v>240</v>
      </c>
      <c r="S5" s="25">
        <f t="shared" si="5"/>
        <v>279.65324006590691</v>
      </c>
    </row>
    <row r="6" spans="1:22" ht="15" thickBot="1" x14ac:dyDescent="0.4">
      <c r="A6" s="3" t="s">
        <v>22</v>
      </c>
      <c r="B6" s="1" t="s">
        <v>23</v>
      </c>
      <c r="C6" s="1" t="s">
        <v>24</v>
      </c>
      <c r="D6" s="1" t="s">
        <v>12</v>
      </c>
      <c r="E6" s="1">
        <v>847</v>
      </c>
      <c r="F6" s="1">
        <v>12</v>
      </c>
      <c r="G6" s="1">
        <v>0.2</v>
      </c>
      <c r="H6" s="2">
        <v>45397</v>
      </c>
      <c r="I6" s="4">
        <v>271.04000000000002</v>
      </c>
      <c r="J6" s="17" t="str">
        <f t="shared" si="0"/>
        <v>Apr-24</v>
      </c>
      <c r="K6" s="20">
        <f t="shared" si="1"/>
        <v>19029.96</v>
      </c>
      <c r="L6" s="30">
        <f t="shared" ca="1" si="2"/>
        <v>45979.997659837965</v>
      </c>
      <c r="M6" s="20">
        <f t="shared" si="3"/>
        <v>296.14347151107768</v>
      </c>
      <c r="N6" s="20" cm="1">
        <f t="array" ref="N6">SUM(_xlfn._xlws.FILTER($I:$I, $B:$B=B6))</f>
        <v>7077.9199999999992</v>
      </c>
      <c r="O6" s="31" t="str">
        <f t="shared" si="4"/>
        <v>High Value</v>
      </c>
      <c r="Q6" s="22">
        <v>1000</v>
      </c>
      <c r="R6" s="22">
        <v>400</v>
      </c>
      <c r="S6" s="25">
        <f t="shared" si="5"/>
        <v>349.82443770493143</v>
      </c>
    </row>
    <row r="7" spans="1:22" ht="15" thickBot="1" x14ac:dyDescent="0.4">
      <c r="A7" s="3" t="s">
        <v>25</v>
      </c>
      <c r="B7" s="1" t="s">
        <v>26</v>
      </c>
      <c r="C7" s="1" t="s">
        <v>24</v>
      </c>
      <c r="D7" s="1" t="s">
        <v>27</v>
      </c>
      <c r="E7" s="1">
        <v>965.64</v>
      </c>
      <c r="F7" s="1">
        <v>8</v>
      </c>
      <c r="G7" s="1">
        <v>0.1</v>
      </c>
      <c r="H7" s="2">
        <v>45398</v>
      </c>
      <c r="I7" s="4">
        <v>304.18</v>
      </c>
      <c r="J7" s="17" t="str">
        <f t="shared" si="0"/>
        <v>Apr-24</v>
      </c>
      <c r="K7" s="20">
        <f t="shared" si="1"/>
        <v>19029.96</v>
      </c>
      <c r="L7" s="30">
        <f t="shared" ca="1" si="2"/>
        <v>45979.997659837965</v>
      </c>
      <c r="M7" s="20">
        <f t="shared" si="3"/>
        <v>337.76902595054696</v>
      </c>
      <c r="N7" s="20" cm="1">
        <f t="array" ref="N7">SUM(_xlfn._xlws.FILTER($I:$I, $B:$B=B7))</f>
        <v>2535.5100000000002</v>
      </c>
      <c r="O7" s="31" t="str">
        <f t="shared" si="4"/>
        <v/>
      </c>
      <c r="Q7" s="22">
        <v>1200</v>
      </c>
      <c r="R7" s="26">
        <v>450</v>
      </c>
      <c r="S7" s="25">
        <f t="shared" si="5"/>
        <v>419.99563534395588</v>
      </c>
    </row>
    <row r="8" spans="1:22" ht="15" thickBot="1" x14ac:dyDescent="0.4">
      <c r="A8" s="3" t="s">
        <v>28</v>
      </c>
      <c r="B8" s="1" t="s">
        <v>29</v>
      </c>
      <c r="C8" s="1" t="s">
        <v>11</v>
      </c>
      <c r="D8" s="1" t="s">
        <v>21</v>
      </c>
      <c r="E8" s="1">
        <v>1317.53</v>
      </c>
      <c r="F8" s="1">
        <v>12</v>
      </c>
      <c r="G8" s="1">
        <v>0.05</v>
      </c>
      <c r="H8" s="2">
        <v>45398</v>
      </c>
      <c r="I8" s="4">
        <v>312.91000000000003</v>
      </c>
      <c r="J8" s="17" t="str">
        <f t="shared" si="0"/>
        <v>Apr-24</v>
      </c>
      <c r="K8" s="20">
        <f t="shared" si="1"/>
        <v>19029.96</v>
      </c>
      <c r="L8" s="30">
        <f t="shared" ca="1" si="2"/>
        <v>45979.997659837965</v>
      </c>
      <c r="M8" s="20">
        <f t="shared" si="3"/>
        <v>461.23173963652863</v>
      </c>
      <c r="N8" s="20" cm="1">
        <f t="array" ref="N8">SUM(_xlfn._xlws.FILTER($I:$I, $B:$B=B8))</f>
        <v>3241.1099999999997</v>
      </c>
      <c r="O8" s="31" t="str">
        <f t="shared" si="4"/>
        <v/>
      </c>
      <c r="Q8" s="22">
        <v>1300</v>
      </c>
      <c r="R8" s="26">
        <v>520</v>
      </c>
      <c r="S8" s="25">
        <f t="shared" si="5"/>
        <v>455.08123416346814</v>
      </c>
    </row>
    <row r="9" spans="1:22" ht="15" thickBot="1" x14ac:dyDescent="0.4">
      <c r="A9" s="3" t="s">
        <v>30</v>
      </c>
      <c r="B9" s="1" t="s">
        <v>31</v>
      </c>
      <c r="C9" s="1" t="s">
        <v>18</v>
      </c>
      <c r="D9" s="1" t="s">
        <v>27</v>
      </c>
      <c r="E9" s="1">
        <v>1074.47</v>
      </c>
      <c r="F9" s="1">
        <v>6</v>
      </c>
      <c r="G9" s="1">
        <v>0.2</v>
      </c>
      <c r="H9" s="2">
        <v>45401</v>
      </c>
      <c r="I9" s="4">
        <v>300.85000000000002</v>
      </c>
      <c r="J9" s="17" t="str">
        <f t="shared" si="0"/>
        <v>Apr-24</v>
      </c>
      <c r="K9" s="20">
        <f t="shared" si="1"/>
        <v>19029.96</v>
      </c>
      <c r="L9" s="30">
        <f t="shared" ca="1" si="2"/>
        <v>45979.997659837965</v>
      </c>
      <c r="M9" s="20">
        <f t="shared" si="3"/>
        <v>375.95268314582216</v>
      </c>
      <c r="N9" s="20" cm="1">
        <f t="array" ref="N9">SUM(_xlfn._xlws.FILTER($I:$I, $B:$B=B9))</f>
        <v>6553.7899999999991</v>
      </c>
      <c r="O9" s="31" t="str">
        <f t="shared" si="4"/>
        <v>High Value</v>
      </c>
      <c r="Q9" s="22">
        <v>1500</v>
      </c>
      <c r="R9" s="26">
        <v>600</v>
      </c>
      <c r="S9" s="25">
        <f t="shared" si="5"/>
        <v>525.25243180249265</v>
      </c>
    </row>
    <row r="10" spans="1:22" ht="15" thickBot="1" x14ac:dyDescent="0.4">
      <c r="A10" s="3" t="s">
        <v>32</v>
      </c>
      <c r="B10" s="1" t="s">
        <v>33</v>
      </c>
      <c r="C10" s="1" t="s">
        <v>34</v>
      </c>
      <c r="D10" s="1" t="s">
        <v>12</v>
      </c>
      <c r="E10" s="1">
        <v>501.54</v>
      </c>
      <c r="F10" s="1">
        <v>11</v>
      </c>
      <c r="G10" s="1">
        <v>0.05</v>
      </c>
      <c r="H10" s="2">
        <v>45401</v>
      </c>
      <c r="I10" s="4">
        <v>190.59</v>
      </c>
      <c r="J10" s="17" t="str">
        <f t="shared" si="0"/>
        <v>Apr-24</v>
      </c>
      <c r="K10" s="20">
        <f t="shared" si="1"/>
        <v>19029.96</v>
      </c>
      <c r="L10" s="30">
        <f t="shared" ca="1" si="2"/>
        <v>45979.997659837965</v>
      </c>
      <c r="M10" s="20">
        <f t="shared" si="3"/>
        <v>174.93676182919066</v>
      </c>
      <c r="N10" s="20" cm="1">
        <f t="array" ref="N10">SUM(_xlfn._xlws.FILTER($I:$I, $B:$B=B10))</f>
        <v>1386.78</v>
      </c>
      <c r="O10" s="31" t="str">
        <f t="shared" si="4"/>
        <v/>
      </c>
      <c r="Q10" s="22">
        <v>1700</v>
      </c>
      <c r="R10" s="26">
        <v>700</v>
      </c>
      <c r="S10" s="25">
        <f t="shared" si="5"/>
        <v>595.42362944151716</v>
      </c>
    </row>
    <row r="11" spans="1:22" ht="15" thickBot="1" x14ac:dyDescent="0.4">
      <c r="A11" s="3" t="s">
        <v>35</v>
      </c>
      <c r="B11" s="1" t="s">
        <v>36</v>
      </c>
      <c r="C11" s="1" t="s">
        <v>34</v>
      </c>
      <c r="D11" s="1" t="s">
        <v>15</v>
      </c>
      <c r="E11" s="1">
        <v>737.31</v>
      </c>
      <c r="F11" s="1">
        <v>2</v>
      </c>
      <c r="G11" s="1">
        <v>0.05</v>
      </c>
      <c r="H11" s="2">
        <v>45401</v>
      </c>
      <c r="I11" s="4">
        <v>350.22</v>
      </c>
      <c r="J11" s="17" t="str">
        <f t="shared" si="0"/>
        <v>Apr-24</v>
      </c>
      <c r="K11" s="20">
        <f t="shared" si="1"/>
        <v>19029.96</v>
      </c>
      <c r="L11" s="30">
        <f t="shared" ca="1" si="2"/>
        <v>45979.997659837965</v>
      </c>
      <c r="M11" s="20">
        <f t="shared" si="3"/>
        <v>257.65807816595463</v>
      </c>
      <c r="N11" s="20" cm="1">
        <f t="array" ref="N11">SUM(_xlfn._xlws.FILTER($I:$I, $B:$B=B11))</f>
        <v>2919.45</v>
      </c>
      <c r="O11" s="31" t="str">
        <f t="shared" si="4"/>
        <v/>
      </c>
      <c r="Q11" s="22">
        <v>2000</v>
      </c>
      <c r="R11" s="26">
        <v>830</v>
      </c>
      <c r="S11" s="25">
        <f t="shared" si="5"/>
        <v>700.68042590005393</v>
      </c>
    </row>
    <row r="12" spans="1:22" ht="15" thickBot="1" x14ac:dyDescent="0.4">
      <c r="A12" s="3" t="s">
        <v>37</v>
      </c>
      <c r="B12" s="1" t="s">
        <v>38</v>
      </c>
      <c r="C12" s="1" t="s">
        <v>11</v>
      </c>
      <c r="D12" s="1" t="s">
        <v>39</v>
      </c>
      <c r="E12" s="1">
        <v>1572.82</v>
      </c>
      <c r="F12" s="1">
        <v>6</v>
      </c>
      <c r="G12" s="1">
        <v>0.05</v>
      </c>
      <c r="H12" s="2">
        <v>45402</v>
      </c>
      <c r="I12" s="4">
        <v>672.38</v>
      </c>
      <c r="J12" s="17" t="str">
        <f t="shared" si="0"/>
        <v>Apr-24</v>
      </c>
      <c r="K12" s="20">
        <f t="shared" si="1"/>
        <v>19029.96</v>
      </c>
      <c r="L12" s="30">
        <f t="shared" ca="1" si="2"/>
        <v>45979.997659837965</v>
      </c>
      <c r="M12" s="20">
        <f t="shared" si="3"/>
        <v>550.80176486286143</v>
      </c>
      <c r="N12" s="20" cm="1">
        <f t="array" ref="N12">SUM(_xlfn._xlws.FILTER($I:$I, $B:$B=B12))</f>
        <v>3846.93</v>
      </c>
      <c r="O12" s="31" t="str">
        <f t="shared" si="4"/>
        <v>High Value</v>
      </c>
    </row>
    <row r="13" spans="1:22" ht="15" thickBot="1" x14ac:dyDescent="0.4">
      <c r="A13" s="3" t="s">
        <v>37</v>
      </c>
      <c r="B13" s="1" t="s">
        <v>36</v>
      </c>
      <c r="C13" s="1" t="s">
        <v>34</v>
      </c>
      <c r="D13" s="1" t="s">
        <v>12</v>
      </c>
      <c r="E13" s="1">
        <v>1343.13</v>
      </c>
      <c r="F13" s="1">
        <v>14</v>
      </c>
      <c r="G13" s="1">
        <v>0.15</v>
      </c>
      <c r="H13" s="2">
        <v>45404</v>
      </c>
      <c r="I13" s="4">
        <v>456.66</v>
      </c>
      <c r="J13" s="17" t="str">
        <f t="shared" si="0"/>
        <v>Apr-24</v>
      </c>
      <c r="K13" s="20">
        <f t="shared" si="1"/>
        <v>19029.96</v>
      </c>
      <c r="L13" s="30">
        <f t="shared" ca="1" si="2"/>
        <v>45979.997659837965</v>
      </c>
      <c r="M13" s="20">
        <f t="shared" si="3"/>
        <v>470.21365293432382</v>
      </c>
      <c r="N13" s="20" cm="1">
        <f t="array" ref="N13">SUM(_xlfn._xlws.FILTER($I:$I, $B:$B=B13))</f>
        <v>2919.45</v>
      </c>
      <c r="O13" s="31" t="str">
        <f t="shared" si="4"/>
        <v/>
      </c>
      <c r="R13" s="22" t="s">
        <v>84</v>
      </c>
      <c r="S13" s="22">
        <f>SLOPE(I2:I201,E2:E201)</f>
        <v>0.35085598819512248</v>
      </c>
    </row>
    <row r="14" spans="1:22" ht="15" thickBot="1" x14ac:dyDescent="0.4">
      <c r="A14" s="3" t="s">
        <v>25</v>
      </c>
      <c r="B14" s="1" t="s">
        <v>26</v>
      </c>
      <c r="C14" s="1" t="s">
        <v>34</v>
      </c>
      <c r="D14" s="1" t="s">
        <v>12</v>
      </c>
      <c r="E14" s="1">
        <v>1191.58</v>
      </c>
      <c r="F14" s="1">
        <v>14</v>
      </c>
      <c r="G14" s="1">
        <v>0.05</v>
      </c>
      <c r="H14" s="2">
        <v>45406</v>
      </c>
      <c r="I14" s="4">
        <v>452.8</v>
      </c>
      <c r="J14" s="17" t="str">
        <f t="shared" si="0"/>
        <v>Apr-24</v>
      </c>
      <c r="K14" s="20">
        <f t="shared" si="1"/>
        <v>19029.96</v>
      </c>
      <c r="L14" s="30">
        <f t="shared" ca="1" si="2"/>
        <v>45979.997659837965</v>
      </c>
      <c r="M14" s="20">
        <f t="shared" si="3"/>
        <v>417.04142792335296</v>
      </c>
      <c r="N14" s="20" cm="1">
        <f t="array" ref="N14">SUM(_xlfn._xlws.FILTER($I:$I, $B:$B=B14))</f>
        <v>2535.5100000000002</v>
      </c>
      <c r="O14" s="31" t="str">
        <f t="shared" si="4"/>
        <v/>
      </c>
      <c r="R14" s="22" t="s">
        <v>85</v>
      </c>
      <c r="S14" s="22">
        <f>INTERCEPT(I2:I201,E2:E201)</f>
        <v>-1.0315504901910799</v>
      </c>
    </row>
    <row r="15" spans="1:22" ht="15" thickBot="1" x14ac:dyDescent="0.4">
      <c r="A15" s="3" t="s">
        <v>40</v>
      </c>
      <c r="B15" s="1" t="s">
        <v>14</v>
      </c>
      <c r="C15" s="1" t="s">
        <v>11</v>
      </c>
      <c r="D15" s="1" t="s">
        <v>27</v>
      </c>
      <c r="E15" s="1">
        <v>822.28</v>
      </c>
      <c r="F15" s="1">
        <v>7</v>
      </c>
      <c r="G15" s="1">
        <v>0.05</v>
      </c>
      <c r="H15" s="2">
        <v>45406</v>
      </c>
      <c r="I15" s="4">
        <v>273.41000000000003</v>
      </c>
      <c r="J15" s="17" t="str">
        <f t="shared" si="0"/>
        <v>Apr-24</v>
      </c>
      <c r="K15" s="20">
        <f t="shared" si="1"/>
        <v>19029.96</v>
      </c>
      <c r="L15" s="30">
        <f t="shared" ca="1" si="2"/>
        <v>45979.997659837965</v>
      </c>
      <c r="M15" s="20">
        <f t="shared" si="3"/>
        <v>287.4703114828942</v>
      </c>
      <c r="N15" s="20" cm="1">
        <f t="array" ref="N15">SUM(_xlfn._xlws.FILTER($I:$I, $B:$B=B15))</f>
        <v>2765.53</v>
      </c>
      <c r="O15" s="31" t="str">
        <f t="shared" si="4"/>
        <v/>
      </c>
    </row>
    <row r="16" spans="1:22" ht="15" thickBot="1" x14ac:dyDescent="0.4">
      <c r="A16" s="3" t="s">
        <v>41</v>
      </c>
      <c r="B16" s="1" t="s">
        <v>42</v>
      </c>
      <c r="C16" s="1" t="s">
        <v>24</v>
      </c>
      <c r="D16" s="1" t="s">
        <v>27</v>
      </c>
      <c r="E16" s="1">
        <v>521.66999999999996</v>
      </c>
      <c r="F16" s="1">
        <v>15</v>
      </c>
      <c r="G16" s="1">
        <v>0.15</v>
      </c>
      <c r="H16" s="2">
        <v>45409</v>
      </c>
      <c r="I16" s="4">
        <v>155.19999999999999</v>
      </c>
      <c r="J16" s="17" t="str">
        <f t="shared" si="0"/>
        <v>Apr-24</v>
      </c>
      <c r="K16" s="20">
        <f t="shared" si="1"/>
        <v>19029.96</v>
      </c>
      <c r="L16" s="30">
        <f t="shared" ca="1" si="2"/>
        <v>45979.997659837965</v>
      </c>
      <c r="M16" s="20">
        <f t="shared" si="3"/>
        <v>181.99949287155846</v>
      </c>
      <c r="N16" s="20" cm="1">
        <f t="array" ref="N16">SUM(_xlfn._xlws.FILTER($I:$I, $B:$B=B16))</f>
        <v>569.64</v>
      </c>
      <c r="O16" s="31" t="str">
        <f t="shared" si="4"/>
        <v/>
      </c>
    </row>
    <row r="17" spans="1:23" ht="15" thickBot="1" x14ac:dyDescent="0.4">
      <c r="A17" s="3" t="s">
        <v>19</v>
      </c>
      <c r="B17" s="1" t="s">
        <v>43</v>
      </c>
      <c r="C17" s="1" t="s">
        <v>20</v>
      </c>
      <c r="D17" s="1" t="s">
        <v>21</v>
      </c>
      <c r="E17" s="1">
        <v>1502.93</v>
      </c>
      <c r="F17" s="1">
        <v>14</v>
      </c>
      <c r="G17" s="1">
        <v>0.2</v>
      </c>
      <c r="H17" s="2">
        <v>45410</v>
      </c>
      <c r="I17" s="4">
        <v>300.58999999999997</v>
      </c>
      <c r="J17" s="17" t="str">
        <f t="shared" si="0"/>
        <v>Apr-24</v>
      </c>
      <c r="K17" s="20">
        <f t="shared" si="1"/>
        <v>19029.96</v>
      </c>
      <c r="L17" s="30">
        <f t="shared" ca="1" si="2"/>
        <v>45979.997659837965</v>
      </c>
      <c r="M17" s="20">
        <f t="shared" si="3"/>
        <v>526.2804398479044</v>
      </c>
      <c r="N17" s="20" cm="1">
        <f t="array" ref="N17">SUM(_xlfn._xlws.FILTER($I:$I, $B:$B=B17))</f>
        <v>2060.81</v>
      </c>
      <c r="O17" s="31" t="str">
        <f t="shared" si="4"/>
        <v/>
      </c>
    </row>
    <row r="18" spans="1:23" ht="15" thickBot="1" x14ac:dyDescent="0.4">
      <c r="A18" s="3" t="s">
        <v>44</v>
      </c>
      <c r="B18" s="1" t="s">
        <v>14</v>
      </c>
      <c r="C18" s="1" t="s">
        <v>20</v>
      </c>
      <c r="D18" s="1" t="s">
        <v>12</v>
      </c>
      <c r="E18" s="1">
        <v>877.58</v>
      </c>
      <c r="F18" s="1">
        <v>10</v>
      </c>
      <c r="G18" s="1">
        <v>0.15</v>
      </c>
      <c r="H18" s="2">
        <v>45411</v>
      </c>
      <c r="I18" s="4">
        <v>298.38</v>
      </c>
      <c r="J18" s="17" t="str">
        <f t="shared" si="0"/>
        <v>Apr-24</v>
      </c>
      <c r="K18" s="20">
        <f t="shared" si="1"/>
        <v>19029.96</v>
      </c>
      <c r="L18" s="30">
        <f t="shared" ca="1" si="2"/>
        <v>45979.997659837965</v>
      </c>
      <c r="M18" s="20">
        <f t="shared" si="3"/>
        <v>306.87264763008454</v>
      </c>
      <c r="N18" s="20" cm="1">
        <f t="array" ref="N18">SUM(_xlfn._xlws.FILTER($I:$I, $B:$B=B18))</f>
        <v>2765.53</v>
      </c>
      <c r="O18" s="31" t="str">
        <f t="shared" si="4"/>
        <v/>
      </c>
    </row>
    <row r="19" spans="1:23" ht="15" thickBot="1" x14ac:dyDescent="0.4">
      <c r="A19" s="3" t="s">
        <v>28</v>
      </c>
      <c r="B19" s="1" t="s">
        <v>45</v>
      </c>
      <c r="C19" s="1" t="s">
        <v>11</v>
      </c>
      <c r="D19" s="1" t="s">
        <v>12</v>
      </c>
      <c r="E19" s="1">
        <v>636.70000000000005</v>
      </c>
      <c r="F19" s="1">
        <v>4</v>
      </c>
      <c r="G19" s="1">
        <v>0.2</v>
      </c>
      <c r="H19" s="2">
        <v>45411</v>
      </c>
      <c r="I19" s="4">
        <v>203.74</v>
      </c>
      <c r="J19" s="17" t="str">
        <f t="shared" si="0"/>
        <v>Apr-24</v>
      </c>
      <c r="K19" s="20">
        <f t="shared" si="1"/>
        <v>19029.96</v>
      </c>
      <c r="L19" s="30">
        <f t="shared" ca="1" si="2"/>
        <v>45979.997659837965</v>
      </c>
      <c r="M19" s="20">
        <f t="shared" si="3"/>
        <v>222.35845719364343</v>
      </c>
      <c r="N19" s="20" cm="1">
        <f t="array" ref="N19">SUM(_xlfn._xlws.FILTER($I:$I, $B:$B=B19))</f>
        <v>3074.45</v>
      </c>
      <c r="O19" s="31" t="str">
        <f t="shared" si="4"/>
        <v/>
      </c>
      <c r="Q19" s="27" t="s">
        <v>86</v>
      </c>
      <c r="R19" s="27"/>
      <c r="S19" s="28" t="s">
        <v>8</v>
      </c>
    </row>
    <row r="20" spans="1:23" ht="15" thickBot="1" x14ac:dyDescent="0.4">
      <c r="A20" s="3" t="s">
        <v>46</v>
      </c>
      <c r="B20" s="1" t="s">
        <v>47</v>
      </c>
      <c r="C20" s="1" t="s">
        <v>11</v>
      </c>
      <c r="D20" s="1" t="s">
        <v>12</v>
      </c>
      <c r="E20" s="1">
        <v>1506.14</v>
      </c>
      <c r="F20" s="1">
        <v>13</v>
      </c>
      <c r="G20" s="1">
        <v>0.2</v>
      </c>
      <c r="H20" s="2">
        <v>45412</v>
      </c>
      <c r="I20" s="4">
        <v>481.96</v>
      </c>
      <c r="J20" s="17" t="str">
        <f t="shared" si="0"/>
        <v>Apr-24</v>
      </c>
      <c r="K20" s="20">
        <f t="shared" si="1"/>
        <v>19029.96</v>
      </c>
      <c r="L20" s="30">
        <f t="shared" ca="1" si="2"/>
        <v>45979.997659837965</v>
      </c>
      <c r="M20" s="20">
        <f t="shared" si="3"/>
        <v>527.40668757001072</v>
      </c>
      <c r="N20" s="20" cm="1">
        <f t="array" ref="N20">SUM(_xlfn._xlws.FILTER($I:$I, $B:$B=B20))</f>
        <v>2339.64</v>
      </c>
      <c r="O20" s="31" t="str">
        <f t="shared" si="4"/>
        <v/>
      </c>
      <c r="Q20" s="29" t="s">
        <v>87</v>
      </c>
      <c r="R20" s="29"/>
      <c r="S20" s="22">
        <f>AVERAGE(I2:I201)</f>
        <v>341.43505000000005</v>
      </c>
    </row>
    <row r="21" spans="1:23" ht="15" thickBot="1" x14ac:dyDescent="0.4">
      <c r="A21" s="3" t="s">
        <v>30</v>
      </c>
      <c r="B21" s="1" t="s">
        <v>31</v>
      </c>
      <c r="C21" s="1" t="s">
        <v>34</v>
      </c>
      <c r="D21" s="1" t="s">
        <v>21</v>
      </c>
      <c r="E21" s="1">
        <v>645.02</v>
      </c>
      <c r="F21" s="1">
        <v>4</v>
      </c>
      <c r="G21" s="1">
        <v>0</v>
      </c>
      <c r="H21" s="2">
        <v>45414</v>
      </c>
      <c r="I21" s="4">
        <v>161.26</v>
      </c>
      <c r="J21" s="17" t="str">
        <f t="shared" si="0"/>
        <v>May-24</v>
      </c>
      <c r="K21" s="20">
        <f t="shared" si="1"/>
        <v>18507.339999999997</v>
      </c>
      <c r="L21" s="30">
        <f t="shared" ca="1" si="2"/>
        <v>45979.997659837965</v>
      </c>
      <c r="M21" s="20">
        <f t="shared" si="3"/>
        <v>225.27757901542682</v>
      </c>
      <c r="N21" s="20" cm="1">
        <f t="array" ref="N21">SUM(_xlfn._xlws.FILTER($I:$I, $B:$B=B21))</f>
        <v>6553.7899999999991</v>
      </c>
      <c r="O21" s="31" t="str">
        <f t="shared" si="4"/>
        <v>High Value</v>
      </c>
      <c r="Q21" s="29" t="s">
        <v>88</v>
      </c>
      <c r="R21" s="29"/>
      <c r="S21" s="22">
        <f>MIN(I2:I201)</f>
        <v>64.63</v>
      </c>
    </row>
    <row r="22" spans="1:23" ht="15" thickBot="1" x14ac:dyDescent="0.4">
      <c r="A22" s="3" t="s">
        <v>25</v>
      </c>
      <c r="B22" s="1" t="s">
        <v>48</v>
      </c>
      <c r="C22" s="1" t="s">
        <v>20</v>
      </c>
      <c r="D22" s="1" t="s">
        <v>15</v>
      </c>
      <c r="E22" s="1">
        <v>953.3</v>
      </c>
      <c r="F22" s="1">
        <v>11</v>
      </c>
      <c r="G22" s="1">
        <v>0</v>
      </c>
      <c r="H22" s="2">
        <v>45415</v>
      </c>
      <c r="I22" s="4">
        <v>476.65</v>
      </c>
      <c r="J22" s="17" t="str">
        <f t="shared" si="0"/>
        <v>May-24</v>
      </c>
      <c r="K22" s="20">
        <f t="shared" si="1"/>
        <v>18507.339999999997</v>
      </c>
      <c r="L22" s="30">
        <f t="shared" ca="1" si="2"/>
        <v>45979.997659837965</v>
      </c>
      <c r="M22" s="20">
        <f t="shared" si="3"/>
        <v>333.43946305621915</v>
      </c>
      <c r="N22" s="20" cm="1">
        <f t="array" ref="N22">SUM(_xlfn._xlws.FILTER($I:$I, $B:$B=B22))</f>
        <v>2918.14</v>
      </c>
      <c r="O22" s="31" t="str">
        <f t="shared" si="4"/>
        <v/>
      </c>
      <c r="Q22" s="29" t="s">
        <v>89</v>
      </c>
      <c r="R22" s="29"/>
      <c r="S22" s="22">
        <f>MAX(I2:I201)</f>
        <v>769.46</v>
      </c>
    </row>
    <row r="23" spans="1:23" ht="15" thickBot="1" x14ac:dyDescent="0.4">
      <c r="A23" s="3" t="s">
        <v>49</v>
      </c>
      <c r="B23" s="1" t="s">
        <v>14</v>
      </c>
      <c r="C23" s="1" t="s">
        <v>24</v>
      </c>
      <c r="D23" s="1" t="s">
        <v>21</v>
      </c>
      <c r="E23" s="1">
        <v>388.56</v>
      </c>
      <c r="F23" s="1">
        <v>14</v>
      </c>
      <c r="G23" s="1">
        <v>0.15</v>
      </c>
      <c r="H23" s="2">
        <v>45416</v>
      </c>
      <c r="I23" s="4">
        <v>82.57</v>
      </c>
      <c r="J23" s="17" t="str">
        <f t="shared" si="0"/>
        <v>May-24</v>
      </c>
      <c r="K23" s="20">
        <f t="shared" si="1"/>
        <v>18507.339999999997</v>
      </c>
      <c r="L23" s="30">
        <f t="shared" ca="1" si="2"/>
        <v>45979.997659837965</v>
      </c>
      <c r="M23" s="20">
        <f t="shared" si="3"/>
        <v>135.29705228290572</v>
      </c>
      <c r="N23" s="20" cm="1">
        <f t="array" ref="N23">SUM(_xlfn._xlws.FILTER($I:$I, $B:$B=B23))</f>
        <v>2765.53</v>
      </c>
      <c r="O23" s="31" t="str">
        <f t="shared" si="4"/>
        <v/>
      </c>
      <c r="Q23" s="29" t="s">
        <v>90</v>
      </c>
      <c r="R23" s="29"/>
      <c r="S23" s="22">
        <f>MEDIAN(I2:I201)</f>
        <v>332.255</v>
      </c>
    </row>
    <row r="24" spans="1:23" ht="15" thickBot="1" x14ac:dyDescent="0.4">
      <c r="A24" s="3" t="s">
        <v>9</v>
      </c>
      <c r="B24" s="1" t="s">
        <v>31</v>
      </c>
      <c r="C24" s="1" t="s">
        <v>11</v>
      </c>
      <c r="D24" s="1" t="s">
        <v>12</v>
      </c>
      <c r="E24" s="1">
        <v>743.17</v>
      </c>
      <c r="F24" s="1">
        <v>9</v>
      </c>
      <c r="G24" s="1">
        <v>0</v>
      </c>
      <c r="H24" s="2">
        <v>45416</v>
      </c>
      <c r="I24" s="4">
        <v>297.27</v>
      </c>
      <c r="J24" s="17" t="str">
        <f t="shared" si="0"/>
        <v>May-24</v>
      </c>
      <c r="K24" s="20">
        <f t="shared" si="1"/>
        <v>18507.339999999997</v>
      </c>
      <c r="L24" s="30">
        <f t="shared" ca="1" si="2"/>
        <v>45979.997659837965</v>
      </c>
      <c r="M24" s="20">
        <f t="shared" si="3"/>
        <v>259.71409425677808</v>
      </c>
      <c r="N24" s="20" cm="1">
        <f t="array" ref="N24">SUM(_xlfn._xlws.FILTER($I:$I, $B:$B=B24))</f>
        <v>6553.7899999999991</v>
      </c>
      <c r="O24" s="31" t="str">
        <f t="shared" si="4"/>
        <v>High Value</v>
      </c>
      <c r="Q24" s="29" t="s">
        <v>91</v>
      </c>
      <c r="R24" s="29"/>
      <c r="S24" s="22">
        <f>SUM(I2:I201)</f>
        <v>68287.010000000009</v>
      </c>
    </row>
    <row r="25" spans="1:23" ht="15" thickBot="1" x14ac:dyDescent="0.4">
      <c r="A25" s="3" t="s">
        <v>40</v>
      </c>
      <c r="B25" s="1" t="s">
        <v>31</v>
      </c>
      <c r="C25" s="1" t="s">
        <v>34</v>
      </c>
      <c r="D25" s="1" t="s">
        <v>21</v>
      </c>
      <c r="E25" s="1">
        <v>706.37</v>
      </c>
      <c r="F25" s="1">
        <v>6</v>
      </c>
      <c r="G25" s="1">
        <v>0</v>
      </c>
      <c r="H25" s="2">
        <v>45416</v>
      </c>
      <c r="I25" s="4">
        <v>176.59</v>
      </c>
      <c r="J25" s="17" t="str">
        <f t="shared" si="0"/>
        <v>May-24</v>
      </c>
      <c r="K25" s="20">
        <f t="shared" si="1"/>
        <v>18507.339999999997</v>
      </c>
      <c r="L25" s="30">
        <f t="shared" ca="1" si="2"/>
        <v>45979.997659837965</v>
      </c>
      <c r="M25" s="20">
        <f t="shared" si="3"/>
        <v>246.8025938911976</v>
      </c>
      <c r="N25" s="20" cm="1">
        <f t="array" ref="N25">SUM(_xlfn._xlws.FILTER($I:$I, $B:$B=B25))</f>
        <v>6553.7899999999991</v>
      </c>
      <c r="O25" s="31" t="str">
        <f t="shared" si="4"/>
        <v>High Value</v>
      </c>
      <c r="Q25" s="29" t="s">
        <v>92</v>
      </c>
      <c r="R25" s="29"/>
      <c r="S25" s="22">
        <f>COUNT(I2:I201)</f>
        <v>200</v>
      </c>
    </row>
    <row r="26" spans="1:23" ht="15" thickBot="1" x14ac:dyDescent="0.4">
      <c r="A26" s="3" t="s">
        <v>13</v>
      </c>
      <c r="B26" s="1" t="s">
        <v>31</v>
      </c>
      <c r="C26" s="1" t="s">
        <v>34</v>
      </c>
      <c r="D26" s="1" t="s">
        <v>39</v>
      </c>
      <c r="E26" s="1">
        <v>925.31</v>
      </c>
      <c r="F26" s="1">
        <v>8</v>
      </c>
      <c r="G26" s="1">
        <v>0.1</v>
      </c>
      <c r="H26" s="2">
        <v>45418</v>
      </c>
      <c r="I26" s="4">
        <v>374.75</v>
      </c>
      <c r="J26" s="17" t="str">
        <f t="shared" si="0"/>
        <v>May-24</v>
      </c>
      <c r="K26" s="20">
        <f t="shared" si="1"/>
        <v>18507.339999999997</v>
      </c>
      <c r="L26" s="30">
        <f t="shared" ca="1" si="2"/>
        <v>45979.997659837965</v>
      </c>
      <c r="M26" s="20">
        <f t="shared" si="3"/>
        <v>323.61900394663769</v>
      </c>
      <c r="N26" s="20" cm="1">
        <f t="array" ref="N26">SUM(_xlfn._xlws.FILTER($I:$I, $B:$B=B26))</f>
        <v>6553.7899999999991</v>
      </c>
      <c r="O26" s="31" t="str">
        <f t="shared" si="4"/>
        <v>High Value</v>
      </c>
    </row>
    <row r="27" spans="1:23" ht="15" thickBot="1" x14ac:dyDescent="0.4">
      <c r="A27" s="3" t="s">
        <v>35</v>
      </c>
      <c r="B27" s="1" t="s">
        <v>50</v>
      </c>
      <c r="C27" s="1" t="s">
        <v>20</v>
      </c>
      <c r="D27" s="1" t="s">
        <v>21</v>
      </c>
      <c r="E27" s="1">
        <v>1173.1199999999999</v>
      </c>
      <c r="F27" s="1">
        <v>18</v>
      </c>
      <c r="G27" s="1">
        <v>0</v>
      </c>
      <c r="H27" s="2">
        <v>45418</v>
      </c>
      <c r="I27" s="4">
        <v>293.27999999999997</v>
      </c>
      <c r="J27" s="17" t="str">
        <f t="shared" si="0"/>
        <v>May-24</v>
      </c>
      <c r="K27" s="20">
        <f t="shared" si="1"/>
        <v>18507.339999999997</v>
      </c>
      <c r="L27" s="30">
        <f t="shared" ca="1" si="2"/>
        <v>45979.997659837965</v>
      </c>
      <c r="M27" s="20">
        <f t="shared" si="3"/>
        <v>410.56462638127095</v>
      </c>
      <c r="N27" s="20" cm="1">
        <f t="array" ref="N27">SUM(_xlfn._xlws.FILTER($I:$I, $B:$B=B27))</f>
        <v>1885.71</v>
      </c>
      <c r="O27" s="31" t="str">
        <f t="shared" si="4"/>
        <v/>
      </c>
    </row>
    <row r="28" spans="1:23" ht="15" thickBot="1" x14ac:dyDescent="0.4">
      <c r="A28" s="3" t="s">
        <v>22</v>
      </c>
      <c r="B28" s="1" t="s">
        <v>51</v>
      </c>
      <c r="C28" s="1" t="s">
        <v>24</v>
      </c>
      <c r="D28" s="1" t="s">
        <v>27</v>
      </c>
      <c r="E28" s="1">
        <v>675.54</v>
      </c>
      <c r="F28" s="1">
        <v>17</v>
      </c>
      <c r="G28" s="1">
        <v>0</v>
      </c>
      <c r="H28" s="2">
        <v>45420</v>
      </c>
      <c r="I28" s="4">
        <v>236.44</v>
      </c>
      <c r="J28" s="17" t="str">
        <f t="shared" si="0"/>
        <v>May-24</v>
      </c>
      <c r="K28" s="20">
        <f t="shared" si="1"/>
        <v>18507.339999999997</v>
      </c>
      <c r="L28" s="30">
        <f t="shared" ca="1" si="2"/>
        <v>45979.997659837965</v>
      </c>
      <c r="M28" s="20">
        <f t="shared" si="3"/>
        <v>235.98570377514196</v>
      </c>
      <c r="N28" s="20" cm="1">
        <f t="array" ref="N28">SUM(_xlfn._xlws.FILTER($I:$I, $B:$B=B28))</f>
        <v>410.91999999999996</v>
      </c>
      <c r="O28" s="31" t="str">
        <f t="shared" si="4"/>
        <v/>
      </c>
    </row>
    <row r="29" spans="1:23" ht="15" thickBot="1" x14ac:dyDescent="0.4">
      <c r="A29" s="3" t="s">
        <v>25</v>
      </c>
      <c r="B29" s="1" t="s">
        <v>14</v>
      </c>
      <c r="C29" s="1" t="s">
        <v>34</v>
      </c>
      <c r="D29" s="1" t="s">
        <v>12</v>
      </c>
      <c r="E29" s="1">
        <v>939.09</v>
      </c>
      <c r="F29" s="1">
        <v>2</v>
      </c>
      <c r="G29" s="1">
        <v>0.05</v>
      </c>
      <c r="H29" s="2">
        <v>45422</v>
      </c>
      <c r="I29" s="4">
        <v>356.85</v>
      </c>
      <c r="J29" s="17" t="str">
        <f t="shared" si="0"/>
        <v>May-24</v>
      </c>
      <c r="K29" s="20">
        <f t="shared" si="1"/>
        <v>18507.339999999997</v>
      </c>
      <c r="L29" s="30">
        <f t="shared" ca="1" si="2"/>
        <v>45979.997659837965</v>
      </c>
      <c r="M29" s="20">
        <f t="shared" si="3"/>
        <v>328.4537994639665</v>
      </c>
      <c r="N29" s="20" cm="1">
        <f t="array" ref="N29">SUM(_xlfn._xlws.FILTER($I:$I, $B:$B=B29))</f>
        <v>2765.53</v>
      </c>
      <c r="O29" s="31" t="str">
        <f t="shared" si="4"/>
        <v/>
      </c>
      <c r="Q29" s="10" t="s">
        <v>96</v>
      </c>
      <c r="R29" s="10" t="s">
        <v>79</v>
      </c>
      <c r="S29"/>
      <c r="T29"/>
      <c r="U29"/>
      <c r="V29"/>
      <c r="W29"/>
    </row>
    <row r="30" spans="1:23" ht="15" thickBot="1" x14ac:dyDescent="0.4">
      <c r="A30" s="3" t="s">
        <v>52</v>
      </c>
      <c r="B30" s="1" t="s">
        <v>53</v>
      </c>
      <c r="C30" s="1" t="s">
        <v>18</v>
      </c>
      <c r="D30" s="1" t="s">
        <v>39</v>
      </c>
      <c r="E30" s="1">
        <v>983.34</v>
      </c>
      <c r="F30" s="1">
        <v>19</v>
      </c>
      <c r="G30" s="1">
        <v>0.1</v>
      </c>
      <c r="H30" s="2">
        <v>45426</v>
      </c>
      <c r="I30" s="4">
        <v>398.25</v>
      </c>
      <c r="J30" s="17" t="str">
        <f t="shared" si="0"/>
        <v>May-24</v>
      </c>
      <c r="K30" s="20">
        <f t="shared" si="1"/>
        <v>18507.339999999997</v>
      </c>
      <c r="L30" s="30">
        <f t="shared" ca="1" si="2"/>
        <v>45979.997659837965</v>
      </c>
      <c r="M30" s="20">
        <f t="shared" si="3"/>
        <v>343.97917694160066</v>
      </c>
      <c r="N30" s="20" cm="1">
        <f t="array" ref="N30">SUM(_xlfn._xlws.FILTER($I:$I, $B:$B=B30))</f>
        <v>2912.54</v>
      </c>
      <c r="O30" s="31" t="str">
        <f t="shared" si="4"/>
        <v/>
      </c>
      <c r="Q30" s="10" t="s">
        <v>76</v>
      </c>
      <c r="R30" t="s">
        <v>12</v>
      </c>
      <c r="S30" t="s">
        <v>15</v>
      </c>
      <c r="T30" t="s">
        <v>21</v>
      </c>
      <c r="U30" t="s">
        <v>27</v>
      </c>
      <c r="V30" t="s">
        <v>39</v>
      </c>
      <c r="W30" t="s">
        <v>77</v>
      </c>
    </row>
    <row r="31" spans="1:23" ht="15" thickBot="1" x14ac:dyDescent="0.4">
      <c r="A31" s="3" t="s">
        <v>52</v>
      </c>
      <c r="B31" s="1" t="s">
        <v>23</v>
      </c>
      <c r="C31" s="1" t="s">
        <v>20</v>
      </c>
      <c r="D31" s="1" t="s">
        <v>21</v>
      </c>
      <c r="E31" s="1">
        <v>801.21</v>
      </c>
      <c r="F31" s="1">
        <v>3</v>
      </c>
      <c r="G31" s="1">
        <v>0.2</v>
      </c>
      <c r="H31" s="2">
        <v>45426</v>
      </c>
      <c r="I31" s="4">
        <v>160.24</v>
      </c>
      <c r="J31" s="17" t="str">
        <f t="shared" si="0"/>
        <v>May-24</v>
      </c>
      <c r="K31" s="20">
        <f t="shared" si="1"/>
        <v>18507.339999999997</v>
      </c>
      <c r="L31" s="30">
        <f t="shared" ca="1" si="2"/>
        <v>45979.997659837965</v>
      </c>
      <c r="M31" s="20">
        <f t="shared" si="3"/>
        <v>280.07777581162304</v>
      </c>
      <c r="N31" s="20" cm="1">
        <f t="array" ref="N31">SUM(_xlfn._xlws.FILTER($I:$I, $B:$B=B31))</f>
        <v>7077.9199999999992</v>
      </c>
      <c r="O31" s="31" t="str">
        <f t="shared" si="4"/>
        <v>High Value</v>
      </c>
      <c r="Q31" s="11" t="s">
        <v>34</v>
      </c>
      <c r="R31" s="12">
        <v>11297.150000000001</v>
      </c>
      <c r="S31" s="12">
        <v>12200.26</v>
      </c>
      <c r="T31" s="12">
        <v>6621.24</v>
      </c>
      <c r="U31" s="12">
        <v>4876.96</v>
      </c>
      <c r="V31" s="12">
        <v>8472.7199999999993</v>
      </c>
      <c r="W31" s="12">
        <v>43468.33</v>
      </c>
    </row>
    <row r="32" spans="1:23" ht="15" thickBot="1" x14ac:dyDescent="0.4">
      <c r="A32" s="3" t="s">
        <v>54</v>
      </c>
      <c r="B32" s="1" t="s">
        <v>55</v>
      </c>
      <c r="C32" s="1" t="s">
        <v>24</v>
      </c>
      <c r="D32" s="1" t="s">
        <v>21</v>
      </c>
      <c r="E32" s="1">
        <v>1450.71</v>
      </c>
      <c r="F32" s="1">
        <v>5</v>
      </c>
      <c r="G32" s="1">
        <v>0.1</v>
      </c>
      <c r="H32" s="2">
        <v>45427</v>
      </c>
      <c r="I32" s="4">
        <v>326.41000000000003</v>
      </c>
      <c r="J32" s="17" t="str">
        <f t="shared" si="0"/>
        <v>May-24</v>
      </c>
      <c r="K32" s="20">
        <f t="shared" si="1"/>
        <v>18507.339999999997</v>
      </c>
      <c r="L32" s="30">
        <f t="shared" ca="1" si="2"/>
        <v>45979.997659837965</v>
      </c>
      <c r="M32" s="20">
        <f t="shared" si="3"/>
        <v>507.95874014435509</v>
      </c>
      <c r="N32" s="20" cm="1">
        <f t="array" ref="N32">SUM(_xlfn._xlws.FILTER($I:$I, $B:$B=B32))</f>
        <v>4061.91</v>
      </c>
      <c r="O32" s="31" t="str">
        <f t="shared" si="4"/>
        <v>High Value</v>
      </c>
      <c r="Q32" s="11" t="s">
        <v>18</v>
      </c>
      <c r="R32" s="12">
        <v>11389.090000000002</v>
      </c>
      <c r="S32" s="12">
        <v>2401.4499999999998</v>
      </c>
      <c r="T32" s="12">
        <v>2869.54</v>
      </c>
      <c r="U32" s="12">
        <v>7592.3399999999992</v>
      </c>
      <c r="V32" s="12">
        <v>8189.2200000000012</v>
      </c>
      <c r="W32" s="12">
        <v>32441.640000000003</v>
      </c>
    </row>
    <row r="33" spans="1:221" ht="15" thickBot="1" x14ac:dyDescent="0.4">
      <c r="A33" s="3" t="s">
        <v>49</v>
      </c>
      <c r="B33" s="1" t="s">
        <v>56</v>
      </c>
      <c r="C33" s="1" t="s">
        <v>34</v>
      </c>
      <c r="D33" s="1" t="s">
        <v>12</v>
      </c>
      <c r="E33" s="1">
        <v>1023.21</v>
      </c>
      <c r="F33" s="1">
        <v>18</v>
      </c>
      <c r="G33" s="1">
        <v>0.05</v>
      </c>
      <c r="H33" s="2">
        <v>45428</v>
      </c>
      <c r="I33" s="4">
        <v>388.82</v>
      </c>
      <c r="J33" s="17" t="str">
        <f t="shared" si="0"/>
        <v>May-24</v>
      </c>
      <c r="K33" s="20">
        <f t="shared" si="1"/>
        <v>18507.339999999997</v>
      </c>
      <c r="L33" s="30">
        <f t="shared" ca="1" si="2"/>
        <v>45979.997659837965</v>
      </c>
      <c r="M33" s="20">
        <f t="shared" si="3"/>
        <v>357.96780519094023</v>
      </c>
      <c r="N33" s="20" cm="1">
        <f t="array" ref="N33">SUM(_xlfn._xlws.FILTER($I:$I, $B:$B=B33))</f>
        <v>1273.1899999999998</v>
      </c>
      <c r="O33" s="31" t="str">
        <f t="shared" si="4"/>
        <v/>
      </c>
      <c r="Q33" s="11" t="s">
        <v>24</v>
      </c>
      <c r="R33" s="12">
        <v>8037.0100000000011</v>
      </c>
      <c r="S33" s="12">
        <v>8422.82</v>
      </c>
      <c r="T33" s="12">
        <v>8191.7099999999991</v>
      </c>
      <c r="U33" s="12">
        <v>6978.08</v>
      </c>
      <c r="V33" s="12">
        <v>3345.8</v>
      </c>
      <c r="W33" s="12">
        <v>34975.420000000006</v>
      </c>
    </row>
    <row r="34" spans="1:221" ht="15" thickBot="1" x14ac:dyDescent="0.4">
      <c r="A34" s="3" t="s">
        <v>28</v>
      </c>
      <c r="B34" s="1" t="s">
        <v>47</v>
      </c>
      <c r="C34" s="1" t="s">
        <v>11</v>
      </c>
      <c r="D34" s="1" t="s">
        <v>27</v>
      </c>
      <c r="E34" s="1">
        <v>853.72</v>
      </c>
      <c r="F34" s="1">
        <v>5</v>
      </c>
      <c r="G34" s="1">
        <v>0.15</v>
      </c>
      <c r="H34" s="2">
        <v>45428</v>
      </c>
      <c r="I34" s="4">
        <v>253.98</v>
      </c>
      <c r="J34" s="17" t="str">
        <f t="shared" ref="J34:J65" si="6">TEXT(H34,"MMM-YY")</f>
        <v>May-24</v>
      </c>
      <c r="K34" s="20">
        <f t="shared" ref="K34:K65" si="7">SUMIFS($E:$E, $J:$J, J34)</f>
        <v>18507.339999999997</v>
      </c>
      <c r="L34" s="30">
        <f t="shared" ref="L34:L65" ca="1" si="8">NOW()</f>
        <v>45979.997659837965</v>
      </c>
      <c r="M34" s="20">
        <f t="shared" ref="M34:M65" si="9">$S$13*E34+$S$14</f>
        <v>298.50122375174891</v>
      </c>
      <c r="N34" s="20" cm="1">
        <f t="array" ref="N34">SUM(_xlfn._xlws.FILTER($I:$I, $B:$B=B34))</f>
        <v>2339.64</v>
      </c>
      <c r="O34" s="31" t="str">
        <f t="shared" ref="O34:O65" si="10">IF(N34 &gt; AVERAGE($N:$N), "High Value", "")</f>
        <v/>
      </c>
      <c r="Q34" s="11" t="s">
        <v>20</v>
      </c>
      <c r="R34" s="12">
        <v>9588.0400000000009</v>
      </c>
      <c r="S34" s="12">
        <v>8393.630000000001</v>
      </c>
      <c r="T34" s="12">
        <v>11989.070000000003</v>
      </c>
      <c r="U34" s="12">
        <v>7982.73</v>
      </c>
      <c r="V34" s="12">
        <v>2295.3199999999997</v>
      </c>
      <c r="W34" s="12">
        <v>40248.79</v>
      </c>
    </row>
    <row r="35" spans="1:221" ht="15" thickBot="1" x14ac:dyDescent="0.4">
      <c r="A35" s="3" t="s">
        <v>57</v>
      </c>
      <c r="B35" s="1" t="s">
        <v>43</v>
      </c>
      <c r="C35" s="1" t="s">
        <v>20</v>
      </c>
      <c r="D35" s="1" t="s">
        <v>21</v>
      </c>
      <c r="E35" s="1">
        <v>967.89</v>
      </c>
      <c r="F35" s="1">
        <v>10</v>
      </c>
      <c r="G35" s="1">
        <v>0.1</v>
      </c>
      <c r="H35" s="2">
        <v>45429</v>
      </c>
      <c r="I35" s="4">
        <v>217.78</v>
      </c>
      <c r="J35" s="17" t="str">
        <f t="shared" si="6"/>
        <v>May-24</v>
      </c>
      <c r="K35" s="20">
        <f t="shared" si="7"/>
        <v>18507.339999999997</v>
      </c>
      <c r="L35" s="30">
        <f t="shared" ca="1" si="8"/>
        <v>45979.997659837965</v>
      </c>
      <c r="M35" s="20">
        <f t="shared" si="9"/>
        <v>338.55845192398601</v>
      </c>
      <c r="N35" s="20" cm="1">
        <f t="array" ref="N35">SUM(_xlfn._xlws.FILTER($I:$I, $B:$B=B35))</f>
        <v>2060.81</v>
      </c>
      <c r="O35" s="31" t="str">
        <f t="shared" si="10"/>
        <v/>
      </c>
      <c r="Q35" s="11" t="s">
        <v>11</v>
      </c>
      <c r="R35" s="12">
        <v>6691.17</v>
      </c>
      <c r="S35" s="12">
        <v>10509.429999999998</v>
      </c>
      <c r="T35" s="12">
        <v>11372.44</v>
      </c>
      <c r="U35" s="12">
        <v>9182.7800000000007</v>
      </c>
      <c r="V35" s="12">
        <v>6327.76</v>
      </c>
      <c r="W35" s="12">
        <v>44083.58</v>
      </c>
    </row>
    <row r="36" spans="1:221" ht="15" thickBot="1" x14ac:dyDescent="0.4">
      <c r="A36" s="3" t="s">
        <v>58</v>
      </c>
      <c r="B36" s="1" t="s">
        <v>53</v>
      </c>
      <c r="C36" s="1" t="s">
        <v>24</v>
      </c>
      <c r="D36" s="1" t="s">
        <v>39</v>
      </c>
      <c r="E36" s="1">
        <v>1200.9000000000001</v>
      </c>
      <c r="F36" s="1">
        <v>14</v>
      </c>
      <c r="G36" s="1">
        <v>0.05</v>
      </c>
      <c r="H36" s="2">
        <v>45429</v>
      </c>
      <c r="I36" s="4">
        <v>513.38</v>
      </c>
      <c r="J36" s="17" t="str">
        <f t="shared" si="6"/>
        <v>May-24</v>
      </c>
      <c r="K36" s="20">
        <f t="shared" si="7"/>
        <v>18507.339999999997</v>
      </c>
      <c r="L36" s="30">
        <f t="shared" ca="1" si="8"/>
        <v>45979.997659837965</v>
      </c>
      <c r="M36" s="20">
        <f t="shared" si="9"/>
        <v>420.31140573333153</v>
      </c>
      <c r="N36" s="20" cm="1">
        <f t="array" ref="N36">SUM(_xlfn._xlws.FILTER($I:$I, $B:$B=B36))</f>
        <v>2912.54</v>
      </c>
      <c r="O36" s="31" t="str">
        <f t="shared" si="10"/>
        <v/>
      </c>
      <c r="Q36" s="11" t="s">
        <v>77</v>
      </c>
      <c r="R36" s="12">
        <v>47002.460000000006</v>
      </c>
      <c r="S36" s="12">
        <v>41927.589999999997</v>
      </c>
      <c r="T36" s="12">
        <v>41044</v>
      </c>
      <c r="U36" s="12">
        <v>36612.89</v>
      </c>
      <c r="V36" s="12">
        <v>28630.82</v>
      </c>
      <c r="W36" s="12">
        <v>195217.76</v>
      </c>
    </row>
    <row r="37" spans="1:221" ht="15" thickBot="1" x14ac:dyDescent="0.4">
      <c r="A37" s="3" t="s">
        <v>13</v>
      </c>
      <c r="B37" s="1" t="s">
        <v>26</v>
      </c>
      <c r="C37" s="1" t="s">
        <v>11</v>
      </c>
      <c r="D37" s="1" t="s">
        <v>12</v>
      </c>
      <c r="E37" s="1">
        <v>472.38</v>
      </c>
      <c r="F37" s="1">
        <v>12</v>
      </c>
      <c r="G37" s="1">
        <v>0.2</v>
      </c>
      <c r="H37" s="2">
        <v>45429</v>
      </c>
      <c r="I37" s="4">
        <v>151.16</v>
      </c>
      <c r="J37" s="17" t="str">
        <f t="shared" si="6"/>
        <v>May-24</v>
      </c>
      <c r="K37" s="20">
        <f t="shared" si="7"/>
        <v>18507.339999999997</v>
      </c>
      <c r="L37" s="30">
        <f t="shared" ca="1" si="8"/>
        <v>45979.997659837965</v>
      </c>
      <c r="M37" s="20">
        <f t="shared" si="9"/>
        <v>164.70580121342087</v>
      </c>
      <c r="N37" s="20" cm="1">
        <f t="array" ref="N37">SUM(_xlfn._xlws.FILTER($I:$I, $B:$B=B37))</f>
        <v>2535.5100000000002</v>
      </c>
      <c r="O37" s="31" t="str">
        <f t="shared" si="10"/>
        <v/>
      </c>
      <c r="Q37"/>
      <c r="R37"/>
      <c r="S37"/>
    </row>
    <row r="38" spans="1:221" ht="15" thickBot="1" x14ac:dyDescent="0.4">
      <c r="A38" s="3" t="s">
        <v>9</v>
      </c>
      <c r="B38" s="1" t="s">
        <v>55</v>
      </c>
      <c r="C38" s="1" t="s">
        <v>18</v>
      </c>
      <c r="D38" s="1" t="s">
        <v>39</v>
      </c>
      <c r="E38" s="1">
        <v>840.92</v>
      </c>
      <c r="F38" s="1">
        <v>9</v>
      </c>
      <c r="G38" s="1">
        <v>0.05</v>
      </c>
      <c r="H38" s="2">
        <v>45429</v>
      </c>
      <c r="I38" s="4">
        <v>359.49</v>
      </c>
      <c r="J38" s="17" t="str">
        <f t="shared" si="6"/>
        <v>May-24</v>
      </c>
      <c r="K38" s="20">
        <f t="shared" si="7"/>
        <v>18507.339999999997</v>
      </c>
      <c r="L38" s="30">
        <f t="shared" ca="1" si="8"/>
        <v>45979.997659837965</v>
      </c>
      <c r="M38" s="20">
        <f t="shared" si="9"/>
        <v>294.01026710285129</v>
      </c>
      <c r="N38" s="20" cm="1">
        <f t="array" ref="N38">SUM(_xlfn._xlws.FILTER($I:$I, $B:$B=B38))</f>
        <v>4061.91</v>
      </c>
      <c r="O38" s="31" t="str">
        <f t="shared" si="10"/>
        <v>High Value</v>
      </c>
      <c r="Q38"/>
      <c r="R38"/>
      <c r="S38"/>
    </row>
    <row r="39" spans="1:221" ht="15" thickBot="1" x14ac:dyDescent="0.4">
      <c r="A39" s="3" t="s">
        <v>52</v>
      </c>
      <c r="B39" s="1" t="s">
        <v>48</v>
      </c>
      <c r="C39" s="1" t="s">
        <v>34</v>
      </c>
      <c r="D39" s="1" t="s">
        <v>27</v>
      </c>
      <c r="E39" s="1">
        <v>1410.06</v>
      </c>
      <c r="F39" s="1">
        <v>11</v>
      </c>
      <c r="G39" s="1">
        <v>0.05</v>
      </c>
      <c r="H39" s="2">
        <v>45434</v>
      </c>
      <c r="I39" s="4">
        <v>468.84</v>
      </c>
      <c r="J39" s="17" t="str">
        <f t="shared" si="6"/>
        <v>May-24</v>
      </c>
      <c r="K39" s="20">
        <f t="shared" si="7"/>
        <v>18507.339999999997</v>
      </c>
      <c r="L39" s="30">
        <f t="shared" ca="1" si="8"/>
        <v>45979.997659837965</v>
      </c>
      <c r="M39" s="20">
        <f t="shared" si="9"/>
        <v>493.69644422422328</v>
      </c>
      <c r="N39" s="20" cm="1">
        <f t="array" ref="N39">SUM(_xlfn._xlws.FILTER($I:$I, $B:$B=B39))</f>
        <v>2918.14</v>
      </c>
      <c r="O39" s="31" t="str">
        <f t="shared" si="10"/>
        <v/>
      </c>
      <c r="Q39"/>
      <c r="R39"/>
      <c r="S39"/>
    </row>
    <row r="40" spans="1:221" ht="15" thickBot="1" x14ac:dyDescent="0.4">
      <c r="A40" s="3" t="s">
        <v>44</v>
      </c>
      <c r="B40" s="1" t="s">
        <v>59</v>
      </c>
      <c r="C40" s="1" t="s">
        <v>34</v>
      </c>
      <c r="D40" s="1" t="s">
        <v>27</v>
      </c>
      <c r="E40" s="1">
        <v>773.09</v>
      </c>
      <c r="F40" s="1">
        <v>13</v>
      </c>
      <c r="G40" s="1">
        <v>0.15</v>
      </c>
      <c r="H40" s="2">
        <v>45434</v>
      </c>
      <c r="I40" s="4">
        <v>229.99</v>
      </c>
      <c r="J40" s="17" t="str">
        <f t="shared" si="6"/>
        <v>May-24</v>
      </c>
      <c r="K40" s="20">
        <f t="shared" si="7"/>
        <v>18507.339999999997</v>
      </c>
      <c r="L40" s="30">
        <f t="shared" ca="1" si="8"/>
        <v>45979.997659837965</v>
      </c>
      <c r="M40" s="20">
        <f t="shared" si="9"/>
        <v>270.21170542357618</v>
      </c>
      <c r="N40" s="20" cm="1">
        <f t="array" ref="N40">SUM(_xlfn._xlws.FILTER($I:$I, $B:$B=B40))</f>
        <v>2285.64</v>
      </c>
      <c r="O40" s="31" t="str">
        <f t="shared" si="10"/>
        <v/>
      </c>
      <c r="Q40" s="10" t="s">
        <v>76</v>
      </c>
      <c r="R40" t="s">
        <v>78</v>
      </c>
      <c r="S40"/>
      <c r="T40" s="10" t="s">
        <v>76</v>
      </c>
      <c r="U40" t="s">
        <v>110</v>
      </c>
      <c r="V40"/>
      <c r="W40" s="10" t="s">
        <v>76</v>
      </c>
      <c r="X40" t="s">
        <v>78</v>
      </c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</row>
    <row r="41" spans="1:221" ht="15" thickBot="1" x14ac:dyDescent="0.4">
      <c r="A41" s="3" t="s">
        <v>60</v>
      </c>
      <c r="B41" s="1" t="s">
        <v>61</v>
      </c>
      <c r="C41" s="1" t="s">
        <v>18</v>
      </c>
      <c r="D41" s="1" t="s">
        <v>12</v>
      </c>
      <c r="E41" s="1">
        <v>580.42999999999995</v>
      </c>
      <c r="F41" s="1">
        <v>19</v>
      </c>
      <c r="G41" s="1">
        <v>0.15</v>
      </c>
      <c r="H41" s="2">
        <v>45435</v>
      </c>
      <c r="I41" s="4">
        <v>197.35</v>
      </c>
      <c r="J41" s="17" t="str">
        <f t="shared" si="6"/>
        <v>May-24</v>
      </c>
      <c r="K41" s="20">
        <f t="shared" si="7"/>
        <v>18507.339999999997</v>
      </c>
      <c r="L41" s="30">
        <f t="shared" ca="1" si="8"/>
        <v>45979.997659837965</v>
      </c>
      <c r="M41" s="20">
        <f t="shared" si="9"/>
        <v>202.61579073790384</v>
      </c>
      <c r="N41" s="20" cm="1">
        <f t="array" ref="N41">SUM(_xlfn._xlws.FILTER($I:$I, $B:$B=B41))</f>
        <v>2718.8399999999997</v>
      </c>
      <c r="O41" s="31" t="str">
        <f t="shared" si="10"/>
        <v/>
      </c>
      <c r="Q41" s="11" t="s">
        <v>34</v>
      </c>
      <c r="R41" s="12">
        <v>43468.33</v>
      </c>
      <c r="S41"/>
      <c r="T41" s="11" t="s">
        <v>97</v>
      </c>
      <c r="U41" s="12">
        <v>361569.24000000005</v>
      </c>
      <c r="V41"/>
      <c r="W41" s="11" t="s">
        <v>12</v>
      </c>
      <c r="X41" s="12">
        <v>47002.460000000006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</row>
    <row r="42" spans="1:221" ht="15" thickBot="1" x14ac:dyDescent="0.4">
      <c r="A42" s="3" t="s">
        <v>19</v>
      </c>
      <c r="B42" s="1" t="s">
        <v>42</v>
      </c>
      <c r="C42" s="1" t="s">
        <v>20</v>
      </c>
      <c r="D42" s="1" t="s">
        <v>12</v>
      </c>
      <c r="E42" s="1">
        <v>1151.21</v>
      </c>
      <c r="F42" s="1">
        <v>15</v>
      </c>
      <c r="G42" s="1">
        <v>0.1</v>
      </c>
      <c r="H42" s="2">
        <v>45445</v>
      </c>
      <c r="I42" s="4">
        <v>414.44</v>
      </c>
      <c r="J42" s="17" t="str">
        <f t="shared" si="6"/>
        <v>Jun-24</v>
      </c>
      <c r="K42" s="20">
        <f t="shared" si="7"/>
        <v>20187.509999999998</v>
      </c>
      <c r="L42" s="30">
        <f t="shared" ca="1" si="8"/>
        <v>45979.997659837965</v>
      </c>
      <c r="M42" s="20">
        <f t="shared" si="9"/>
        <v>402.87737167991588</v>
      </c>
      <c r="N42" s="20" cm="1">
        <f t="array" ref="N42">SUM(_xlfn._xlws.FILTER($I:$I, $B:$B=B42))</f>
        <v>569.64</v>
      </c>
      <c r="O42" s="31" t="str">
        <f t="shared" si="10"/>
        <v/>
      </c>
      <c r="Q42" s="11" t="s">
        <v>18</v>
      </c>
      <c r="R42" s="12">
        <v>32441.64</v>
      </c>
      <c r="S42"/>
      <c r="T42" s="11" t="s">
        <v>98</v>
      </c>
      <c r="U42" s="12">
        <v>12848.68</v>
      </c>
      <c r="V42"/>
      <c r="W42" s="11" t="s">
        <v>15</v>
      </c>
      <c r="X42" s="12">
        <v>41927.589999999989</v>
      </c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</row>
    <row r="43" spans="1:221" ht="15" thickBot="1" x14ac:dyDescent="0.4">
      <c r="A43" s="3" t="s">
        <v>52</v>
      </c>
      <c r="B43" s="1" t="s">
        <v>23</v>
      </c>
      <c r="C43" s="1" t="s">
        <v>34</v>
      </c>
      <c r="D43" s="1" t="s">
        <v>39</v>
      </c>
      <c r="E43" s="1">
        <v>1025.98</v>
      </c>
      <c r="F43" s="1">
        <v>5</v>
      </c>
      <c r="G43" s="1">
        <v>0.2</v>
      </c>
      <c r="H43" s="2">
        <v>45447</v>
      </c>
      <c r="I43" s="4">
        <v>369.35</v>
      </c>
      <c r="J43" s="17" t="str">
        <f t="shared" si="6"/>
        <v>Jun-24</v>
      </c>
      <c r="K43" s="20">
        <f t="shared" si="7"/>
        <v>20187.509999999998</v>
      </c>
      <c r="L43" s="30">
        <f t="shared" ca="1" si="8"/>
        <v>45979.997659837965</v>
      </c>
      <c r="M43" s="20">
        <f t="shared" si="9"/>
        <v>358.93967627824071</v>
      </c>
      <c r="N43" s="20" cm="1">
        <f t="array" ref="N43">SUM(_xlfn._xlws.FILTER($I:$I, $B:$B=B43))</f>
        <v>7077.9199999999992</v>
      </c>
      <c r="O43" s="31" t="str">
        <f t="shared" si="10"/>
        <v>High Value</v>
      </c>
      <c r="Q43" s="11" t="s">
        <v>24</v>
      </c>
      <c r="R43" s="12">
        <v>34975.42</v>
      </c>
      <c r="S43"/>
      <c r="T43" s="11" t="s">
        <v>99</v>
      </c>
      <c r="U43" s="12">
        <v>100916.99999999999</v>
      </c>
      <c r="V43"/>
      <c r="W43" s="11" t="s">
        <v>21</v>
      </c>
      <c r="X43" s="12">
        <v>41044.000000000007</v>
      </c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</row>
    <row r="44" spans="1:221" ht="15" thickBot="1" x14ac:dyDescent="0.4">
      <c r="A44" s="3" t="s">
        <v>40</v>
      </c>
      <c r="B44" s="1" t="s">
        <v>56</v>
      </c>
      <c r="C44" s="1" t="s">
        <v>18</v>
      </c>
      <c r="D44" s="1" t="s">
        <v>39</v>
      </c>
      <c r="E44" s="1">
        <v>556.41999999999996</v>
      </c>
      <c r="F44" s="1">
        <v>11</v>
      </c>
      <c r="G44" s="1">
        <v>0.15</v>
      </c>
      <c r="H44" s="2">
        <v>45447</v>
      </c>
      <c r="I44" s="4">
        <v>212.83</v>
      </c>
      <c r="J44" s="17" t="str">
        <f t="shared" si="6"/>
        <v>Jun-24</v>
      </c>
      <c r="K44" s="20">
        <f t="shared" si="7"/>
        <v>20187.509999999998</v>
      </c>
      <c r="L44" s="30">
        <f t="shared" ca="1" si="8"/>
        <v>45979.997659837965</v>
      </c>
      <c r="M44" s="20">
        <f t="shared" si="9"/>
        <v>194.19173846133896</v>
      </c>
      <c r="N44" s="20" cm="1">
        <f t="array" ref="N44">SUM(_xlfn._xlws.FILTER($I:$I, $B:$B=B44))</f>
        <v>1273.1899999999998</v>
      </c>
      <c r="O44" s="31" t="str">
        <f t="shared" si="10"/>
        <v/>
      </c>
      <c r="Q44" s="11" t="s">
        <v>20</v>
      </c>
      <c r="R44" s="12">
        <v>40248.79</v>
      </c>
      <c r="S44"/>
      <c r="T44" s="11" t="s">
        <v>100</v>
      </c>
      <c r="U44" s="12">
        <v>122320.44000000003</v>
      </c>
      <c r="V44"/>
      <c r="W44" s="11" t="s">
        <v>27</v>
      </c>
      <c r="X44" s="12">
        <v>36612.89</v>
      </c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</row>
    <row r="45" spans="1:221" ht="15" thickBot="1" x14ac:dyDescent="0.4">
      <c r="A45" s="3" t="s">
        <v>57</v>
      </c>
      <c r="B45" s="1" t="s">
        <v>23</v>
      </c>
      <c r="C45" s="1" t="s">
        <v>34</v>
      </c>
      <c r="D45" s="1" t="s">
        <v>12</v>
      </c>
      <c r="E45" s="1">
        <v>840.85</v>
      </c>
      <c r="F45" s="1">
        <v>19</v>
      </c>
      <c r="G45" s="1">
        <v>0.1</v>
      </c>
      <c r="H45" s="2">
        <v>45448</v>
      </c>
      <c r="I45" s="4">
        <v>302.70999999999998</v>
      </c>
      <c r="J45" s="17" t="str">
        <f t="shared" si="6"/>
        <v>Jun-24</v>
      </c>
      <c r="K45" s="20">
        <f t="shared" si="7"/>
        <v>20187.509999999998</v>
      </c>
      <c r="L45" s="30">
        <f t="shared" ca="1" si="8"/>
        <v>45979.997659837965</v>
      </c>
      <c r="M45" s="20">
        <f t="shared" si="9"/>
        <v>293.98570718367768</v>
      </c>
      <c r="N45" s="20" cm="1">
        <f t="array" ref="N45">SUM(_xlfn._xlws.FILTER($I:$I, $B:$B=B45))</f>
        <v>7077.9199999999992</v>
      </c>
      <c r="O45" s="31" t="str">
        <f t="shared" si="10"/>
        <v>High Value</v>
      </c>
      <c r="Q45" s="11" t="s">
        <v>11</v>
      </c>
      <c r="R45" s="12">
        <v>44083.58</v>
      </c>
      <c r="S45"/>
      <c r="T45" s="11" t="s">
        <v>101</v>
      </c>
      <c r="U45" s="12">
        <v>196089.03999999992</v>
      </c>
      <c r="V45"/>
      <c r="W45" s="11" t="s">
        <v>39</v>
      </c>
      <c r="X45" s="12">
        <v>28630.819999999992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</row>
    <row r="46" spans="1:221" ht="15" thickBot="1" x14ac:dyDescent="0.4">
      <c r="A46" s="3" t="s">
        <v>30</v>
      </c>
      <c r="B46" s="1" t="s">
        <v>61</v>
      </c>
      <c r="C46" s="1" t="s">
        <v>24</v>
      </c>
      <c r="D46" s="1" t="s">
        <v>27</v>
      </c>
      <c r="E46" s="1">
        <v>1227.25</v>
      </c>
      <c r="F46" s="1">
        <v>12</v>
      </c>
      <c r="G46" s="1">
        <v>0.15</v>
      </c>
      <c r="H46" s="2">
        <v>45448</v>
      </c>
      <c r="I46" s="4">
        <v>365.11</v>
      </c>
      <c r="J46" s="17" t="str">
        <f t="shared" si="6"/>
        <v>Jun-24</v>
      </c>
      <c r="K46" s="20">
        <f t="shared" si="7"/>
        <v>20187.509999999998</v>
      </c>
      <c r="L46" s="30">
        <f t="shared" ca="1" si="8"/>
        <v>45979.997659837965</v>
      </c>
      <c r="M46" s="20">
        <f t="shared" si="9"/>
        <v>429.55646102227297</v>
      </c>
      <c r="N46" s="20" cm="1">
        <f t="array" ref="N46">SUM(_xlfn._xlws.FILTER($I:$I, $B:$B=B46))</f>
        <v>2718.8399999999997</v>
      </c>
      <c r="O46" s="31" t="str">
        <f t="shared" si="10"/>
        <v/>
      </c>
      <c r="Q46" s="11" t="s">
        <v>77</v>
      </c>
      <c r="R46" s="12">
        <v>195217.76</v>
      </c>
      <c r="S46"/>
      <c r="T46" s="11" t="s">
        <v>102</v>
      </c>
      <c r="U46" s="12">
        <v>238634.39999999994</v>
      </c>
      <c r="V46"/>
      <c r="W46" s="11" t="s">
        <v>77</v>
      </c>
      <c r="X46" s="12">
        <v>195217.76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</row>
    <row r="47" spans="1:221" ht="15" thickBot="1" x14ac:dyDescent="0.4">
      <c r="A47" s="3" t="s">
        <v>16</v>
      </c>
      <c r="B47" s="1" t="s">
        <v>62</v>
      </c>
      <c r="C47" s="1" t="s">
        <v>34</v>
      </c>
      <c r="D47" s="1" t="s">
        <v>21</v>
      </c>
      <c r="E47" s="1">
        <v>856.7</v>
      </c>
      <c r="F47" s="1">
        <v>2</v>
      </c>
      <c r="G47" s="1">
        <v>0</v>
      </c>
      <c r="H47" s="2">
        <v>45449</v>
      </c>
      <c r="I47" s="4">
        <v>214.18</v>
      </c>
      <c r="J47" s="17" t="str">
        <f t="shared" si="6"/>
        <v>Jun-24</v>
      </c>
      <c r="K47" s="20">
        <f t="shared" si="7"/>
        <v>20187.509999999998</v>
      </c>
      <c r="L47" s="30">
        <f t="shared" ca="1" si="8"/>
        <v>45979.997659837965</v>
      </c>
      <c r="M47" s="20">
        <f t="shared" si="9"/>
        <v>299.54677459657034</v>
      </c>
      <c r="N47" s="20" cm="1">
        <f t="array" ref="N47">SUM(_xlfn._xlws.FILTER($I:$I, $B:$B=B47))</f>
        <v>214.18</v>
      </c>
      <c r="O47" s="31" t="str">
        <f t="shared" si="10"/>
        <v/>
      </c>
      <c r="Q47"/>
      <c r="R47"/>
      <c r="S47"/>
      <c r="T47" s="11" t="s">
        <v>103</v>
      </c>
      <c r="U47" s="12">
        <v>139308.47999999995</v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</row>
    <row r="48" spans="1:221" ht="15" thickBot="1" x14ac:dyDescent="0.4">
      <c r="A48" s="3" t="s">
        <v>54</v>
      </c>
      <c r="B48" s="1" t="s">
        <v>56</v>
      </c>
      <c r="C48" s="1" t="s">
        <v>34</v>
      </c>
      <c r="D48" s="1" t="s">
        <v>39</v>
      </c>
      <c r="E48" s="1">
        <v>1225.42</v>
      </c>
      <c r="F48" s="1">
        <v>8</v>
      </c>
      <c r="G48" s="1">
        <v>0.15</v>
      </c>
      <c r="H48" s="2">
        <v>45449</v>
      </c>
      <c r="I48" s="4">
        <v>468.72</v>
      </c>
      <c r="J48" s="17" t="str">
        <f t="shared" si="6"/>
        <v>Jun-24</v>
      </c>
      <c r="K48" s="20">
        <f t="shared" si="7"/>
        <v>20187.509999999998</v>
      </c>
      <c r="L48" s="30">
        <f t="shared" ca="1" si="8"/>
        <v>45979.997659837965</v>
      </c>
      <c r="M48" s="20">
        <f t="shared" si="9"/>
        <v>428.91439456387593</v>
      </c>
      <c r="N48" s="20" cm="1">
        <f t="array" ref="N48">SUM(_xlfn._xlws.FILTER($I:$I, $B:$B=B48))</f>
        <v>1273.1899999999998</v>
      </c>
      <c r="O48" s="31" t="str">
        <f t="shared" si="10"/>
        <v/>
      </c>
      <c r="Q48"/>
      <c r="R48"/>
      <c r="S48"/>
      <c r="T48" s="11" t="s">
        <v>104</v>
      </c>
      <c r="U48" s="12">
        <v>403750.20000000007</v>
      </c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</row>
    <row r="49" spans="1:221" ht="15" thickBot="1" x14ac:dyDescent="0.4">
      <c r="A49" s="3" t="s">
        <v>63</v>
      </c>
      <c r="B49" s="1" t="s">
        <v>31</v>
      </c>
      <c r="C49" s="1" t="s">
        <v>24</v>
      </c>
      <c r="D49" s="1" t="s">
        <v>39</v>
      </c>
      <c r="E49" s="1">
        <v>1001.57</v>
      </c>
      <c r="F49" s="1">
        <v>12</v>
      </c>
      <c r="G49" s="1">
        <v>0</v>
      </c>
      <c r="H49" s="2">
        <v>45450</v>
      </c>
      <c r="I49" s="4">
        <v>450.71</v>
      </c>
      <c r="J49" s="17" t="str">
        <f t="shared" si="6"/>
        <v>Jun-24</v>
      </c>
      <c r="K49" s="20">
        <f t="shared" si="7"/>
        <v>20187.509999999998</v>
      </c>
      <c r="L49" s="30">
        <f t="shared" ca="1" si="8"/>
        <v>45979.997659837965</v>
      </c>
      <c r="M49" s="20">
        <f t="shared" si="9"/>
        <v>350.37528160639778</v>
      </c>
      <c r="N49" s="20" cm="1">
        <f t="array" ref="N49">SUM(_xlfn._xlws.FILTER($I:$I, $B:$B=B49))</f>
        <v>6553.7899999999991</v>
      </c>
      <c r="O49" s="31" t="str">
        <f t="shared" si="10"/>
        <v>High Value</v>
      </c>
      <c r="Q49"/>
      <c r="R49"/>
      <c r="S49"/>
      <c r="T49" s="11" t="s">
        <v>105</v>
      </c>
      <c r="U49" s="12">
        <v>335449.17999999988</v>
      </c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</row>
    <row r="50" spans="1:221" ht="15" thickBot="1" x14ac:dyDescent="0.4">
      <c r="A50" s="3" t="s">
        <v>57</v>
      </c>
      <c r="B50" s="1" t="s">
        <v>26</v>
      </c>
      <c r="C50" s="1" t="s">
        <v>18</v>
      </c>
      <c r="D50" s="1" t="s">
        <v>27</v>
      </c>
      <c r="E50" s="1">
        <v>1186.8499999999999</v>
      </c>
      <c r="F50" s="1">
        <v>19</v>
      </c>
      <c r="G50" s="1">
        <v>0.2</v>
      </c>
      <c r="H50" s="2">
        <v>45451</v>
      </c>
      <c r="I50" s="4">
        <v>332.32</v>
      </c>
      <c r="J50" s="17" t="str">
        <f t="shared" si="6"/>
        <v>Jun-24</v>
      </c>
      <c r="K50" s="20">
        <f t="shared" si="7"/>
        <v>20187.509999999998</v>
      </c>
      <c r="L50" s="30">
        <f t="shared" ca="1" si="8"/>
        <v>45979.997659837965</v>
      </c>
      <c r="M50" s="20">
        <f t="shared" si="9"/>
        <v>415.38187909919003</v>
      </c>
      <c r="N50" s="20" cm="1">
        <f t="array" ref="N50">SUM(_xlfn._xlws.FILTER($I:$I, $B:$B=B50))</f>
        <v>2535.5100000000002</v>
      </c>
      <c r="O50" s="31" t="str">
        <f t="shared" si="10"/>
        <v/>
      </c>
      <c r="Q50"/>
      <c r="R50"/>
      <c r="S50"/>
      <c r="T50" s="11" t="s">
        <v>106</v>
      </c>
      <c r="U50" s="12">
        <v>388654.13999999978</v>
      </c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</row>
    <row r="51" spans="1:221" ht="15" thickBot="1" x14ac:dyDescent="0.4">
      <c r="A51" s="3" t="s">
        <v>44</v>
      </c>
      <c r="B51" s="1" t="s">
        <v>51</v>
      </c>
      <c r="C51" s="1" t="s">
        <v>20</v>
      </c>
      <c r="D51" s="1" t="s">
        <v>21</v>
      </c>
      <c r="E51" s="1">
        <v>775.45</v>
      </c>
      <c r="F51" s="1">
        <v>6</v>
      </c>
      <c r="G51" s="1">
        <v>0.1</v>
      </c>
      <c r="H51" s="2">
        <v>45457</v>
      </c>
      <c r="I51" s="4">
        <v>174.48</v>
      </c>
      <c r="J51" s="17" t="str">
        <f t="shared" si="6"/>
        <v>Jun-24</v>
      </c>
      <c r="K51" s="20">
        <f t="shared" si="7"/>
        <v>20187.509999999998</v>
      </c>
      <c r="L51" s="30">
        <f t="shared" ca="1" si="8"/>
        <v>45979.997659837965</v>
      </c>
      <c r="M51" s="20">
        <f t="shared" si="9"/>
        <v>271.03972555571664</v>
      </c>
      <c r="N51" s="20" cm="1">
        <f t="array" ref="N51">SUM(_xlfn._xlws.FILTER($I:$I, $B:$B=B51))</f>
        <v>410.91999999999996</v>
      </c>
      <c r="O51" s="31" t="str">
        <f t="shared" si="10"/>
        <v/>
      </c>
      <c r="Q51"/>
      <c r="R51"/>
      <c r="S51"/>
      <c r="T51" s="11" t="s">
        <v>107</v>
      </c>
      <c r="U51" s="12">
        <v>402700.60000000021</v>
      </c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</row>
    <row r="52" spans="1:221" ht="15" thickBot="1" x14ac:dyDescent="0.4">
      <c r="A52" s="3" t="s">
        <v>25</v>
      </c>
      <c r="B52" s="1" t="s">
        <v>33</v>
      </c>
      <c r="C52" s="1" t="s">
        <v>20</v>
      </c>
      <c r="D52" s="1" t="s">
        <v>21</v>
      </c>
      <c r="E52" s="1">
        <v>1021.47</v>
      </c>
      <c r="F52" s="1">
        <v>6</v>
      </c>
      <c r="G52" s="1">
        <v>0.05</v>
      </c>
      <c r="H52" s="2">
        <v>45461</v>
      </c>
      <c r="I52" s="4">
        <v>242.6</v>
      </c>
      <c r="J52" s="17" t="str">
        <f t="shared" si="6"/>
        <v>Jun-24</v>
      </c>
      <c r="K52" s="20">
        <f t="shared" si="7"/>
        <v>20187.509999999998</v>
      </c>
      <c r="L52" s="30">
        <f t="shared" ca="1" si="8"/>
        <v>45979.997659837965</v>
      </c>
      <c r="M52" s="20">
        <f t="shared" si="9"/>
        <v>357.35731577148067</v>
      </c>
      <c r="N52" s="20" cm="1">
        <f t="array" ref="N52">SUM(_xlfn._xlws.FILTER($I:$I, $B:$B=B52))</f>
        <v>1386.78</v>
      </c>
      <c r="O52" s="31" t="str">
        <f t="shared" si="10"/>
        <v/>
      </c>
      <c r="Q52"/>
      <c r="R52"/>
      <c r="S52"/>
      <c r="T52" s="11" t="s">
        <v>108</v>
      </c>
      <c r="U52" s="12">
        <v>199013.36</v>
      </c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</row>
    <row r="53" spans="1:221" ht="15" thickBot="1" x14ac:dyDescent="0.4">
      <c r="A53" s="3" t="s">
        <v>58</v>
      </c>
      <c r="B53" s="1" t="s">
        <v>23</v>
      </c>
      <c r="C53" s="1" t="s">
        <v>20</v>
      </c>
      <c r="D53" s="1" t="s">
        <v>15</v>
      </c>
      <c r="E53" s="1">
        <v>1226.6199999999999</v>
      </c>
      <c r="F53" s="1">
        <v>7</v>
      </c>
      <c r="G53" s="1">
        <v>0.1</v>
      </c>
      <c r="H53" s="2">
        <v>45463</v>
      </c>
      <c r="I53" s="4">
        <v>551.98</v>
      </c>
      <c r="J53" s="17" t="str">
        <f t="shared" si="6"/>
        <v>Jun-24</v>
      </c>
      <c r="K53" s="20">
        <f t="shared" si="7"/>
        <v>20187.509999999998</v>
      </c>
      <c r="L53" s="30">
        <f t="shared" ca="1" si="8"/>
        <v>45979.997659837965</v>
      </c>
      <c r="M53" s="20">
        <f t="shared" si="9"/>
        <v>429.33542174971001</v>
      </c>
      <c r="N53" s="20" cm="1">
        <f t="array" ref="N53">SUM(_xlfn._xlws.FILTER($I:$I, $B:$B=B53))</f>
        <v>7077.9199999999992</v>
      </c>
      <c r="O53" s="31" t="str">
        <f t="shared" si="10"/>
        <v>High Value</v>
      </c>
      <c r="Q53"/>
      <c r="R53"/>
      <c r="S53"/>
      <c r="T53" s="11" t="s">
        <v>109</v>
      </c>
      <c r="U53" s="12">
        <v>410669.99999999994</v>
      </c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</row>
    <row r="54" spans="1:221" ht="15" thickBot="1" x14ac:dyDescent="0.4">
      <c r="A54" s="3" t="s">
        <v>22</v>
      </c>
      <c r="B54" s="1" t="s">
        <v>64</v>
      </c>
      <c r="C54" s="1" t="s">
        <v>20</v>
      </c>
      <c r="D54" s="1" t="s">
        <v>27</v>
      </c>
      <c r="E54" s="1">
        <v>1086.93</v>
      </c>
      <c r="F54" s="1">
        <v>2</v>
      </c>
      <c r="G54" s="1">
        <v>0</v>
      </c>
      <c r="H54" s="2">
        <v>45464</v>
      </c>
      <c r="I54" s="4">
        <v>380.43</v>
      </c>
      <c r="J54" s="17" t="str">
        <f t="shared" si="6"/>
        <v>Jun-24</v>
      </c>
      <c r="K54" s="20">
        <f t="shared" si="7"/>
        <v>20187.509999999998</v>
      </c>
      <c r="L54" s="30">
        <f t="shared" ca="1" si="8"/>
        <v>45979.997659837965</v>
      </c>
      <c r="M54" s="20">
        <f t="shared" si="9"/>
        <v>380.32434875873344</v>
      </c>
      <c r="N54" s="20" cm="1">
        <f t="array" ref="N54">SUM(_xlfn._xlws.FILTER($I:$I, $B:$B=B54))</f>
        <v>2039.74</v>
      </c>
      <c r="O54" s="31" t="str">
        <f t="shared" si="10"/>
        <v/>
      </c>
      <c r="Q54"/>
      <c r="R54"/>
      <c r="S54"/>
      <c r="T54" s="11" t="s">
        <v>77</v>
      </c>
      <c r="U54" s="12">
        <v>3311924.76</v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</row>
    <row r="55" spans="1:221" ht="15" thickBot="1" x14ac:dyDescent="0.4">
      <c r="A55" s="3" t="s">
        <v>65</v>
      </c>
      <c r="B55" s="1" t="s">
        <v>48</v>
      </c>
      <c r="C55" s="1" t="s">
        <v>11</v>
      </c>
      <c r="D55" s="1" t="s">
        <v>12</v>
      </c>
      <c r="E55" s="1">
        <v>942.9</v>
      </c>
      <c r="F55" s="1">
        <v>18</v>
      </c>
      <c r="G55" s="1">
        <v>0.1</v>
      </c>
      <c r="H55" s="2">
        <v>45466</v>
      </c>
      <c r="I55" s="4">
        <v>339.44</v>
      </c>
      <c r="J55" s="17" t="str">
        <f t="shared" si="6"/>
        <v>Jun-24</v>
      </c>
      <c r="K55" s="20">
        <f t="shared" si="7"/>
        <v>20187.509999999998</v>
      </c>
      <c r="L55" s="30">
        <f t="shared" ca="1" si="8"/>
        <v>45979.997659837965</v>
      </c>
      <c r="M55" s="20">
        <f t="shared" si="9"/>
        <v>329.79056077898991</v>
      </c>
      <c r="N55" s="20" cm="1">
        <f t="array" ref="N55">SUM(_xlfn._xlws.FILTER($I:$I, $B:$B=B55))</f>
        <v>2918.14</v>
      </c>
      <c r="O55" s="31" t="str">
        <f t="shared" si="10"/>
        <v/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</row>
    <row r="56" spans="1:221" ht="15" thickBot="1" x14ac:dyDescent="0.4">
      <c r="A56" s="3" t="s">
        <v>32</v>
      </c>
      <c r="B56" s="1" t="s">
        <v>38</v>
      </c>
      <c r="C56" s="1" t="s">
        <v>24</v>
      </c>
      <c r="D56" s="1" t="s">
        <v>21</v>
      </c>
      <c r="E56" s="1">
        <v>818.8</v>
      </c>
      <c r="F56" s="1">
        <v>15</v>
      </c>
      <c r="G56" s="1">
        <v>0.15</v>
      </c>
      <c r="H56" s="2">
        <v>45468</v>
      </c>
      <c r="I56" s="4">
        <v>173.99</v>
      </c>
      <c r="J56" s="17" t="str">
        <f t="shared" si="6"/>
        <v>Jun-24</v>
      </c>
      <c r="K56" s="20">
        <f t="shared" si="7"/>
        <v>20187.509999999998</v>
      </c>
      <c r="L56" s="30">
        <f t="shared" ca="1" si="8"/>
        <v>45979.997659837965</v>
      </c>
      <c r="M56" s="20">
        <f t="shared" si="9"/>
        <v>286.24933264397521</v>
      </c>
      <c r="N56" s="20" cm="1">
        <f t="array" ref="N56">SUM(_xlfn._xlws.FILTER($I:$I, $B:$B=B56))</f>
        <v>3846.93</v>
      </c>
      <c r="O56" s="31" t="str">
        <f t="shared" si="10"/>
        <v>High Value</v>
      </c>
      <c r="Q56"/>
      <c r="R56"/>
      <c r="S56"/>
      <c r="T56"/>
      <c r="U56"/>
      <c r="V56"/>
      <c r="W56"/>
      <c r="X56"/>
      <c r="Y56"/>
    </row>
    <row r="57" spans="1:221" ht="15" thickBot="1" x14ac:dyDescent="0.4">
      <c r="A57" s="3" t="s">
        <v>19</v>
      </c>
      <c r="B57" s="1" t="s">
        <v>14</v>
      </c>
      <c r="C57" s="1" t="s">
        <v>20</v>
      </c>
      <c r="D57" s="1" t="s">
        <v>27</v>
      </c>
      <c r="E57" s="1">
        <v>919.04</v>
      </c>
      <c r="F57" s="1">
        <v>10</v>
      </c>
      <c r="G57" s="1">
        <v>0.2</v>
      </c>
      <c r="H57" s="2">
        <v>45468</v>
      </c>
      <c r="I57" s="4">
        <v>257.33</v>
      </c>
      <c r="J57" s="17" t="str">
        <f t="shared" si="6"/>
        <v>Jun-24</v>
      </c>
      <c r="K57" s="20">
        <f t="shared" si="7"/>
        <v>20187.509999999998</v>
      </c>
      <c r="L57" s="30">
        <f t="shared" ca="1" si="8"/>
        <v>45979.997659837965</v>
      </c>
      <c r="M57" s="20">
        <f t="shared" si="9"/>
        <v>321.41913690065428</v>
      </c>
      <c r="N57" s="20" cm="1">
        <f t="array" ref="N57">SUM(_xlfn._xlws.FILTER($I:$I, $B:$B=B57))</f>
        <v>2765.53</v>
      </c>
      <c r="O57" s="31" t="str">
        <f t="shared" si="10"/>
        <v/>
      </c>
      <c r="Q57"/>
      <c r="R57"/>
      <c r="S57"/>
      <c r="T57"/>
      <c r="U57"/>
      <c r="V57"/>
      <c r="W57"/>
      <c r="X57"/>
      <c r="Y57"/>
    </row>
    <row r="58" spans="1:221" ht="15" thickBot="1" x14ac:dyDescent="0.4">
      <c r="A58" s="3" t="s">
        <v>22</v>
      </c>
      <c r="B58" s="1" t="s">
        <v>66</v>
      </c>
      <c r="C58" s="1" t="s">
        <v>34</v>
      </c>
      <c r="D58" s="1" t="s">
        <v>12</v>
      </c>
      <c r="E58" s="1">
        <v>973.26</v>
      </c>
      <c r="F58" s="1">
        <v>11</v>
      </c>
      <c r="G58" s="1">
        <v>0</v>
      </c>
      <c r="H58" s="2">
        <v>45470</v>
      </c>
      <c r="I58" s="4">
        <v>389.3</v>
      </c>
      <c r="J58" s="17" t="str">
        <f t="shared" si="6"/>
        <v>Jun-24</v>
      </c>
      <c r="K58" s="20">
        <f t="shared" si="7"/>
        <v>20187.509999999998</v>
      </c>
      <c r="L58" s="30">
        <f t="shared" ca="1" si="8"/>
        <v>45979.997659837965</v>
      </c>
      <c r="M58" s="20">
        <f t="shared" si="9"/>
        <v>340.44254858059384</v>
      </c>
      <c r="N58" s="20" cm="1">
        <f t="array" ref="N58">SUM(_xlfn._xlws.FILTER($I:$I, $B:$B=B58))</f>
        <v>1909.5700000000002</v>
      </c>
      <c r="O58" s="31" t="str">
        <f t="shared" si="10"/>
        <v/>
      </c>
    </row>
    <row r="59" spans="1:221" ht="15" thickBot="1" x14ac:dyDescent="0.4">
      <c r="A59" s="3" t="s">
        <v>41</v>
      </c>
      <c r="B59" s="1" t="s">
        <v>64</v>
      </c>
      <c r="C59" s="1" t="s">
        <v>24</v>
      </c>
      <c r="D59" s="1" t="s">
        <v>21</v>
      </c>
      <c r="E59" s="1">
        <v>741.61</v>
      </c>
      <c r="F59" s="1">
        <v>1</v>
      </c>
      <c r="G59" s="1">
        <v>0.2</v>
      </c>
      <c r="H59" s="2">
        <v>45471</v>
      </c>
      <c r="I59" s="4">
        <v>148.32</v>
      </c>
      <c r="J59" s="17" t="str">
        <f t="shared" si="6"/>
        <v>Jun-24</v>
      </c>
      <c r="K59" s="20">
        <f t="shared" si="7"/>
        <v>20187.509999999998</v>
      </c>
      <c r="L59" s="30">
        <f t="shared" ca="1" si="8"/>
        <v>45979.997659837965</v>
      </c>
      <c r="M59" s="20">
        <f t="shared" si="9"/>
        <v>259.16675891519372</v>
      </c>
      <c r="N59" s="20" cm="1">
        <f t="array" ref="N59">SUM(_xlfn._xlws.FILTER($I:$I, $B:$B=B59))</f>
        <v>2039.74</v>
      </c>
      <c r="O59" s="31" t="str">
        <f t="shared" si="10"/>
        <v/>
      </c>
    </row>
    <row r="60" spans="1:221" ht="15" thickBot="1" x14ac:dyDescent="0.4">
      <c r="A60" s="3" t="s">
        <v>67</v>
      </c>
      <c r="B60" s="1" t="s">
        <v>38</v>
      </c>
      <c r="C60" s="1" t="s">
        <v>24</v>
      </c>
      <c r="D60" s="1" t="s">
        <v>12</v>
      </c>
      <c r="E60" s="1">
        <v>1248.82</v>
      </c>
      <c r="F60" s="1">
        <v>2</v>
      </c>
      <c r="G60" s="1">
        <v>0.1</v>
      </c>
      <c r="H60" s="2">
        <v>45473</v>
      </c>
      <c r="I60" s="4">
        <v>449.58</v>
      </c>
      <c r="J60" s="17" t="str">
        <f t="shared" si="6"/>
        <v>Jun-24</v>
      </c>
      <c r="K60" s="20">
        <f t="shared" si="7"/>
        <v>20187.509999999998</v>
      </c>
      <c r="L60" s="30">
        <f t="shared" ca="1" si="8"/>
        <v>45979.997659837965</v>
      </c>
      <c r="M60" s="20">
        <f t="shared" si="9"/>
        <v>437.12442468764175</v>
      </c>
      <c r="N60" s="20" cm="1">
        <f t="array" ref="N60">SUM(_xlfn._xlws.FILTER($I:$I, $B:$B=B60))</f>
        <v>3846.93</v>
      </c>
      <c r="O60" s="31" t="str">
        <f t="shared" si="10"/>
        <v>High Value</v>
      </c>
    </row>
    <row r="61" spans="1:221" ht="15" thickBot="1" x14ac:dyDescent="0.4">
      <c r="A61" s="3" t="s">
        <v>13</v>
      </c>
      <c r="B61" s="1" t="s">
        <v>59</v>
      </c>
      <c r="C61" s="1" t="s">
        <v>11</v>
      </c>
      <c r="D61" s="1" t="s">
        <v>15</v>
      </c>
      <c r="E61" s="1">
        <v>1360.36</v>
      </c>
      <c r="F61" s="1">
        <v>17</v>
      </c>
      <c r="G61" s="1">
        <v>0</v>
      </c>
      <c r="H61" s="2">
        <v>45473</v>
      </c>
      <c r="I61" s="4">
        <v>680.18</v>
      </c>
      <c r="J61" s="17" t="str">
        <f t="shared" si="6"/>
        <v>Jun-24</v>
      </c>
      <c r="K61" s="20">
        <f t="shared" si="7"/>
        <v>20187.509999999998</v>
      </c>
      <c r="L61" s="30">
        <f t="shared" ca="1" si="8"/>
        <v>45979.997659837965</v>
      </c>
      <c r="M61" s="20">
        <f t="shared" si="9"/>
        <v>476.2589016109257</v>
      </c>
      <c r="N61" s="20" cm="1">
        <f t="array" ref="N61">SUM(_xlfn._xlws.FILTER($I:$I, $B:$B=B61))</f>
        <v>2285.64</v>
      </c>
      <c r="O61" s="31" t="str">
        <f t="shared" si="10"/>
        <v/>
      </c>
    </row>
    <row r="62" spans="1:221" ht="15" thickBot="1" x14ac:dyDescent="0.4">
      <c r="A62" s="3" t="s">
        <v>57</v>
      </c>
      <c r="B62" s="1" t="s">
        <v>31</v>
      </c>
      <c r="C62" s="1" t="s">
        <v>18</v>
      </c>
      <c r="D62" s="1" t="s">
        <v>12</v>
      </c>
      <c r="E62" s="1">
        <v>1383.3</v>
      </c>
      <c r="F62" s="1">
        <v>8</v>
      </c>
      <c r="G62" s="1">
        <v>0.1</v>
      </c>
      <c r="H62" s="2">
        <v>45478</v>
      </c>
      <c r="I62" s="4">
        <v>497.99</v>
      </c>
      <c r="J62" s="17" t="str">
        <f t="shared" si="6"/>
        <v>Jul-24</v>
      </c>
      <c r="K62" s="20">
        <f t="shared" si="7"/>
        <v>11609.039999999999</v>
      </c>
      <c r="L62" s="30">
        <f t="shared" ca="1" si="8"/>
        <v>45979.997659837965</v>
      </c>
      <c r="M62" s="20">
        <f t="shared" si="9"/>
        <v>484.30753798012182</v>
      </c>
      <c r="N62" s="20" cm="1">
        <f t="array" ref="N62">SUM(_xlfn._xlws.FILTER($I:$I, $B:$B=B62))</f>
        <v>6553.7899999999991</v>
      </c>
      <c r="O62" s="31" t="str">
        <f t="shared" si="10"/>
        <v>High Value</v>
      </c>
    </row>
    <row r="63" spans="1:221" ht="15" thickBot="1" x14ac:dyDescent="0.4">
      <c r="A63" s="3" t="s">
        <v>35</v>
      </c>
      <c r="B63" s="1" t="s">
        <v>55</v>
      </c>
      <c r="C63" s="1" t="s">
        <v>34</v>
      </c>
      <c r="D63" s="1" t="s">
        <v>39</v>
      </c>
      <c r="E63" s="1">
        <v>488.99</v>
      </c>
      <c r="F63" s="1">
        <v>9</v>
      </c>
      <c r="G63" s="1">
        <v>0</v>
      </c>
      <c r="H63" s="2">
        <v>45479</v>
      </c>
      <c r="I63" s="4">
        <v>220.05</v>
      </c>
      <c r="J63" s="17" t="str">
        <f t="shared" si="6"/>
        <v>Jul-24</v>
      </c>
      <c r="K63" s="20">
        <f t="shared" si="7"/>
        <v>11609.039999999999</v>
      </c>
      <c r="L63" s="30">
        <f t="shared" ca="1" si="8"/>
        <v>45979.997659837965</v>
      </c>
      <c r="M63" s="20">
        <f t="shared" si="9"/>
        <v>170.53351917734187</v>
      </c>
      <c r="N63" s="20" cm="1">
        <f t="array" ref="N63">SUM(_xlfn._xlws.FILTER($I:$I, $B:$B=B63))</f>
        <v>4061.91</v>
      </c>
      <c r="O63" s="31" t="str">
        <f t="shared" si="10"/>
        <v>High Value</v>
      </c>
    </row>
    <row r="64" spans="1:221" ht="15" thickBot="1" x14ac:dyDescent="0.4">
      <c r="A64" s="3" t="s">
        <v>30</v>
      </c>
      <c r="B64" s="1" t="s">
        <v>31</v>
      </c>
      <c r="C64" s="1" t="s">
        <v>18</v>
      </c>
      <c r="D64" s="1" t="s">
        <v>27</v>
      </c>
      <c r="E64" s="1">
        <v>933.71</v>
      </c>
      <c r="F64" s="1">
        <v>17</v>
      </c>
      <c r="G64" s="1">
        <v>0.1</v>
      </c>
      <c r="H64" s="2">
        <v>45481</v>
      </c>
      <c r="I64" s="4">
        <v>294.12</v>
      </c>
      <c r="J64" s="17" t="str">
        <f t="shared" si="6"/>
        <v>Jul-24</v>
      </c>
      <c r="K64" s="20">
        <f t="shared" si="7"/>
        <v>11609.039999999999</v>
      </c>
      <c r="L64" s="30">
        <f t="shared" ca="1" si="8"/>
        <v>45979.997659837965</v>
      </c>
      <c r="M64" s="20">
        <f t="shared" si="9"/>
        <v>326.56619424747674</v>
      </c>
      <c r="N64" s="20" cm="1">
        <f t="array" ref="N64">SUM(_xlfn._xlws.FILTER($I:$I, $B:$B=B64))</f>
        <v>6553.7899999999991</v>
      </c>
      <c r="O64" s="31" t="str">
        <f t="shared" si="10"/>
        <v>High Value</v>
      </c>
    </row>
    <row r="65" spans="1:15" ht="15" thickBot="1" x14ac:dyDescent="0.4">
      <c r="A65" s="3" t="s">
        <v>67</v>
      </c>
      <c r="B65" s="1" t="s">
        <v>10</v>
      </c>
      <c r="C65" s="1" t="s">
        <v>11</v>
      </c>
      <c r="D65" s="1" t="s">
        <v>21</v>
      </c>
      <c r="E65" s="1">
        <v>1005.53</v>
      </c>
      <c r="F65" s="1">
        <v>17</v>
      </c>
      <c r="G65" s="1">
        <v>0.2</v>
      </c>
      <c r="H65" s="2">
        <v>45481</v>
      </c>
      <c r="I65" s="4">
        <v>201.11</v>
      </c>
      <c r="J65" s="17" t="str">
        <f t="shared" si="6"/>
        <v>Jul-24</v>
      </c>
      <c r="K65" s="20">
        <f t="shared" si="7"/>
        <v>11609.039999999999</v>
      </c>
      <c r="L65" s="30">
        <f t="shared" ca="1" si="8"/>
        <v>45979.997659837965</v>
      </c>
      <c r="M65" s="20">
        <f t="shared" si="9"/>
        <v>351.7646713196504</v>
      </c>
      <c r="N65" s="20" cm="1">
        <f t="array" ref="N65">SUM(_xlfn._xlws.FILTER($I:$I, $B:$B=B65))</f>
        <v>2122.8200000000002</v>
      </c>
      <c r="O65" s="31" t="str">
        <f t="shared" si="10"/>
        <v/>
      </c>
    </row>
    <row r="66" spans="1:15" ht="15" thickBot="1" x14ac:dyDescent="0.4">
      <c r="A66" s="3" t="s">
        <v>41</v>
      </c>
      <c r="B66" s="1" t="s">
        <v>61</v>
      </c>
      <c r="C66" s="1" t="s">
        <v>20</v>
      </c>
      <c r="D66" s="1" t="s">
        <v>21</v>
      </c>
      <c r="E66" s="1">
        <v>1100.0999999999999</v>
      </c>
      <c r="F66" s="1">
        <v>5</v>
      </c>
      <c r="G66" s="1">
        <v>0.05</v>
      </c>
      <c r="H66" s="2">
        <v>45482</v>
      </c>
      <c r="I66" s="4">
        <v>261.27</v>
      </c>
      <c r="J66" s="17" t="str">
        <f t="shared" ref="J66:J97" si="11">TEXT(H66,"MMM-YY")</f>
        <v>Jul-24</v>
      </c>
      <c r="K66" s="20">
        <f t="shared" ref="K66:K97" si="12">SUMIFS($E:$E, $J:$J, J66)</f>
        <v>11609.039999999999</v>
      </c>
      <c r="L66" s="30">
        <f t="shared" ref="L66:L97" ca="1" si="13">NOW()</f>
        <v>45979.997659837965</v>
      </c>
      <c r="M66" s="20">
        <f t="shared" ref="M66:M97" si="14">$S$13*E66+$S$14</f>
        <v>384.9451221232631</v>
      </c>
      <c r="N66" s="20" cm="1">
        <f t="array" ref="N66">SUM(_xlfn._xlws.FILTER($I:$I, $B:$B=B66))</f>
        <v>2718.8399999999997</v>
      </c>
      <c r="O66" s="31" t="str">
        <f t="shared" ref="O66:O97" si="15">IF(N66 &gt; AVERAGE($N:$N), "High Value", "")</f>
        <v/>
      </c>
    </row>
    <row r="67" spans="1:15" ht="15" thickBot="1" x14ac:dyDescent="0.4">
      <c r="A67" s="3" t="s">
        <v>67</v>
      </c>
      <c r="B67" s="1" t="s">
        <v>23</v>
      </c>
      <c r="C67" s="1" t="s">
        <v>24</v>
      </c>
      <c r="D67" s="1" t="s">
        <v>27</v>
      </c>
      <c r="E67" s="1">
        <v>1034.7</v>
      </c>
      <c r="F67" s="1">
        <v>15</v>
      </c>
      <c r="G67" s="1">
        <v>0.15</v>
      </c>
      <c r="H67" s="2">
        <v>45487</v>
      </c>
      <c r="I67" s="4">
        <v>307.82</v>
      </c>
      <c r="J67" s="17" t="str">
        <f t="shared" si="11"/>
        <v>Jul-24</v>
      </c>
      <c r="K67" s="20">
        <f t="shared" si="12"/>
        <v>11609.039999999999</v>
      </c>
      <c r="L67" s="30">
        <f t="shared" ca="1" si="13"/>
        <v>45979.997659837965</v>
      </c>
      <c r="M67" s="20">
        <f t="shared" si="14"/>
        <v>361.99914049530219</v>
      </c>
      <c r="N67" s="20" cm="1">
        <f t="array" ref="N67">SUM(_xlfn._xlws.FILTER($I:$I, $B:$B=B67))</f>
        <v>7077.9199999999992</v>
      </c>
      <c r="O67" s="31" t="str">
        <f t="shared" si="15"/>
        <v>High Value</v>
      </c>
    </row>
    <row r="68" spans="1:15" ht="15" thickBot="1" x14ac:dyDescent="0.4">
      <c r="A68" s="3" t="s">
        <v>65</v>
      </c>
      <c r="B68" s="1" t="s">
        <v>31</v>
      </c>
      <c r="C68" s="1" t="s">
        <v>20</v>
      </c>
      <c r="D68" s="1" t="s">
        <v>12</v>
      </c>
      <c r="E68" s="1">
        <v>876.44</v>
      </c>
      <c r="F68" s="1">
        <v>12</v>
      </c>
      <c r="G68" s="1">
        <v>0.05</v>
      </c>
      <c r="H68" s="2">
        <v>45488</v>
      </c>
      <c r="I68" s="4">
        <v>333.05</v>
      </c>
      <c r="J68" s="17" t="str">
        <f t="shared" si="11"/>
        <v>Jul-24</v>
      </c>
      <c r="K68" s="20">
        <f t="shared" si="12"/>
        <v>11609.039999999999</v>
      </c>
      <c r="L68" s="30">
        <f t="shared" ca="1" si="13"/>
        <v>45979.997659837965</v>
      </c>
      <c r="M68" s="20">
        <f t="shared" si="14"/>
        <v>306.47267180354208</v>
      </c>
      <c r="N68" s="20" cm="1">
        <f t="array" ref="N68">SUM(_xlfn._xlws.FILTER($I:$I, $B:$B=B68))</f>
        <v>6553.7899999999991</v>
      </c>
      <c r="O68" s="31" t="str">
        <f t="shared" si="15"/>
        <v>High Value</v>
      </c>
    </row>
    <row r="69" spans="1:15" ht="15" thickBot="1" x14ac:dyDescent="0.4">
      <c r="A69" s="3" t="s">
        <v>68</v>
      </c>
      <c r="B69" s="1" t="s">
        <v>55</v>
      </c>
      <c r="C69" s="1" t="s">
        <v>11</v>
      </c>
      <c r="D69" s="1" t="s">
        <v>27</v>
      </c>
      <c r="E69" s="1">
        <v>1371.34</v>
      </c>
      <c r="F69" s="1">
        <v>5</v>
      </c>
      <c r="G69" s="1">
        <v>0.05</v>
      </c>
      <c r="H69" s="2">
        <v>45488</v>
      </c>
      <c r="I69" s="4">
        <v>455.97</v>
      </c>
      <c r="J69" s="17" t="str">
        <f t="shared" si="11"/>
        <v>Jul-24</v>
      </c>
      <c r="K69" s="20">
        <f t="shared" si="12"/>
        <v>11609.039999999999</v>
      </c>
      <c r="L69" s="30">
        <f t="shared" ca="1" si="13"/>
        <v>45979.997659837965</v>
      </c>
      <c r="M69" s="20">
        <f t="shared" si="14"/>
        <v>480.11130036130817</v>
      </c>
      <c r="N69" s="20" cm="1">
        <f t="array" ref="N69">SUM(_xlfn._xlws.FILTER($I:$I, $B:$B=B69))</f>
        <v>4061.91</v>
      </c>
      <c r="O69" s="31" t="str">
        <f t="shared" si="15"/>
        <v>High Value</v>
      </c>
    </row>
    <row r="70" spans="1:15" ht="15" thickBot="1" x14ac:dyDescent="0.4">
      <c r="A70" s="3" t="s">
        <v>57</v>
      </c>
      <c r="B70" s="1" t="s">
        <v>47</v>
      </c>
      <c r="C70" s="1" t="s">
        <v>24</v>
      </c>
      <c r="D70" s="1" t="s">
        <v>21</v>
      </c>
      <c r="E70" s="1">
        <v>1020.26</v>
      </c>
      <c r="F70" s="1">
        <v>11</v>
      </c>
      <c r="G70" s="1">
        <v>0.05</v>
      </c>
      <c r="H70" s="2">
        <v>45494</v>
      </c>
      <c r="I70" s="4">
        <v>242.31</v>
      </c>
      <c r="J70" s="17" t="str">
        <f t="shared" si="11"/>
        <v>Jul-24</v>
      </c>
      <c r="K70" s="20">
        <f t="shared" si="12"/>
        <v>11609.039999999999</v>
      </c>
      <c r="L70" s="30">
        <f t="shared" ca="1" si="13"/>
        <v>45979.997659837965</v>
      </c>
      <c r="M70" s="20">
        <f t="shared" si="14"/>
        <v>356.9327800257646</v>
      </c>
      <c r="N70" s="20" cm="1">
        <f t="array" ref="N70">SUM(_xlfn._xlws.FILTER($I:$I, $B:$B=B70))</f>
        <v>2339.64</v>
      </c>
      <c r="O70" s="31" t="str">
        <f t="shared" si="15"/>
        <v/>
      </c>
    </row>
    <row r="71" spans="1:15" ht="15" thickBot="1" x14ac:dyDescent="0.4">
      <c r="A71" s="3" t="s">
        <v>44</v>
      </c>
      <c r="B71" s="1" t="s">
        <v>10</v>
      </c>
      <c r="C71" s="1" t="s">
        <v>34</v>
      </c>
      <c r="D71" s="1" t="s">
        <v>39</v>
      </c>
      <c r="E71" s="1">
        <v>804.81</v>
      </c>
      <c r="F71" s="1">
        <v>1</v>
      </c>
      <c r="G71" s="1">
        <v>0.05</v>
      </c>
      <c r="H71" s="2">
        <v>45502</v>
      </c>
      <c r="I71" s="4">
        <v>344.06</v>
      </c>
      <c r="J71" s="17" t="str">
        <f t="shared" si="11"/>
        <v>Jul-24</v>
      </c>
      <c r="K71" s="20">
        <f t="shared" si="12"/>
        <v>11609.039999999999</v>
      </c>
      <c r="L71" s="30">
        <f t="shared" ca="1" si="13"/>
        <v>45979.997659837965</v>
      </c>
      <c r="M71" s="20">
        <f t="shared" si="14"/>
        <v>281.34085736912544</v>
      </c>
      <c r="N71" s="20" cm="1">
        <f t="array" ref="N71">SUM(_xlfn._xlws.FILTER($I:$I, $B:$B=B71))</f>
        <v>2122.8200000000002</v>
      </c>
      <c r="O71" s="31" t="str">
        <f t="shared" si="15"/>
        <v/>
      </c>
    </row>
    <row r="72" spans="1:15" ht="15" thickBot="1" x14ac:dyDescent="0.4">
      <c r="A72" s="3" t="s">
        <v>22</v>
      </c>
      <c r="B72" s="1" t="s">
        <v>55</v>
      </c>
      <c r="C72" s="1" t="s">
        <v>34</v>
      </c>
      <c r="D72" s="1" t="s">
        <v>21</v>
      </c>
      <c r="E72" s="1">
        <v>608.66</v>
      </c>
      <c r="F72" s="1">
        <v>1</v>
      </c>
      <c r="G72" s="1">
        <v>0.05</v>
      </c>
      <c r="H72" s="2">
        <v>45503</v>
      </c>
      <c r="I72" s="4">
        <v>144.56</v>
      </c>
      <c r="J72" s="17" t="str">
        <f t="shared" si="11"/>
        <v>Jul-24</v>
      </c>
      <c r="K72" s="20">
        <f t="shared" si="12"/>
        <v>11609.039999999999</v>
      </c>
      <c r="L72" s="30">
        <f t="shared" ca="1" si="13"/>
        <v>45979.997659837965</v>
      </c>
      <c r="M72" s="20">
        <f t="shared" si="14"/>
        <v>212.52045528465217</v>
      </c>
      <c r="N72" s="20" cm="1">
        <f t="array" ref="N72">SUM(_xlfn._xlws.FILTER($I:$I, $B:$B=B72))</f>
        <v>4061.91</v>
      </c>
      <c r="O72" s="31" t="str">
        <f t="shared" si="15"/>
        <v>High Value</v>
      </c>
    </row>
    <row r="73" spans="1:15" ht="15" thickBot="1" x14ac:dyDescent="0.4">
      <c r="A73" s="3" t="s">
        <v>68</v>
      </c>
      <c r="B73" s="1" t="s">
        <v>69</v>
      </c>
      <c r="C73" s="1" t="s">
        <v>20</v>
      </c>
      <c r="D73" s="1" t="s">
        <v>39</v>
      </c>
      <c r="E73" s="1">
        <v>981.2</v>
      </c>
      <c r="F73" s="1">
        <v>19</v>
      </c>
      <c r="G73" s="1">
        <v>0</v>
      </c>
      <c r="H73" s="2">
        <v>45504</v>
      </c>
      <c r="I73" s="4">
        <v>441.54</v>
      </c>
      <c r="J73" s="17" t="str">
        <f t="shared" si="11"/>
        <v>Jul-24</v>
      </c>
      <c r="K73" s="20">
        <f t="shared" si="12"/>
        <v>11609.039999999999</v>
      </c>
      <c r="L73" s="30">
        <f t="shared" ca="1" si="13"/>
        <v>45979.997659837965</v>
      </c>
      <c r="M73" s="20">
        <f t="shared" si="14"/>
        <v>343.22834512686313</v>
      </c>
      <c r="N73" s="20" cm="1">
        <f t="array" ref="N73">SUM(_xlfn._xlws.FILTER($I:$I, $B:$B=B73))</f>
        <v>1020.72</v>
      </c>
      <c r="O73" s="31" t="str">
        <f t="shared" si="15"/>
        <v/>
      </c>
    </row>
    <row r="74" spans="1:15" ht="15" thickBot="1" x14ac:dyDescent="0.4">
      <c r="A74" s="3" t="s">
        <v>70</v>
      </c>
      <c r="B74" s="1" t="s">
        <v>55</v>
      </c>
      <c r="C74" s="1" t="s">
        <v>18</v>
      </c>
      <c r="D74" s="1" t="s">
        <v>21</v>
      </c>
      <c r="E74" s="1">
        <v>539.77</v>
      </c>
      <c r="F74" s="1">
        <v>10</v>
      </c>
      <c r="G74" s="1">
        <v>0.15</v>
      </c>
      <c r="H74" s="2">
        <v>45509</v>
      </c>
      <c r="I74" s="4">
        <v>114.7</v>
      </c>
      <c r="J74" s="17" t="str">
        <f t="shared" si="11"/>
        <v>Aug-24</v>
      </c>
      <c r="K74" s="20">
        <f t="shared" si="12"/>
        <v>10091.699999999999</v>
      </c>
      <c r="L74" s="30">
        <f t="shared" ca="1" si="13"/>
        <v>45979.997659837965</v>
      </c>
      <c r="M74" s="20">
        <f t="shared" si="14"/>
        <v>188.34998625789018</v>
      </c>
      <c r="N74" s="20" cm="1">
        <f t="array" ref="N74">SUM(_xlfn._xlws.FILTER($I:$I, $B:$B=B74))</f>
        <v>4061.91</v>
      </c>
      <c r="O74" s="31" t="str">
        <f t="shared" si="15"/>
        <v>High Value</v>
      </c>
    </row>
    <row r="75" spans="1:15" ht="15" thickBot="1" x14ac:dyDescent="0.4">
      <c r="A75" s="3" t="s">
        <v>13</v>
      </c>
      <c r="B75" s="1" t="s">
        <v>71</v>
      </c>
      <c r="C75" s="1" t="s">
        <v>20</v>
      </c>
      <c r="D75" s="1" t="s">
        <v>12</v>
      </c>
      <c r="E75" s="1">
        <v>804.45</v>
      </c>
      <c r="F75" s="1">
        <v>5</v>
      </c>
      <c r="G75" s="1">
        <v>0.2</v>
      </c>
      <c r="H75" s="2">
        <v>45509</v>
      </c>
      <c r="I75" s="4">
        <v>257.42</v>
      </c>
      <c r="J75" s="17" t="str">
        <f t="shared" si="11"/>
        <v>Aug-24</v>
      </c>
      <c r="K75" s="20">
        <f t="shared" si="12"/>
        <v>10091.699999999999</v>
      </c>
      <c r="L75" s="30">
        <f t="shared" ca="1" si="13"/>
        <v>45979.997659837965</v>
      </c>
      <c r="M75" s="20">
        <f t="shared" si="14"/>
        <v>281.21454921337522</v>
      </c>
      <c r="N75" s="20" cm="1">
        <f t="array" ref="N75">SUM(_xlfn._xlws.FILTER($I:$I, $B:$B=B75))</f>
        <v>1937.8500000000001</v>
      </c>
      <c r="O75" s="31" t="str">
        <f t="shared" si="15"/>
        <v/>
      </c>
    </row>
    <row r="76" spans="1:15" ht="15" thickBot="1" x14ac:dyDescent="0.4">
      <c r="A76" s="3" t="s">
        <v>70</v>
      </c>
      <c r="B76" s="1" t="s">
        <v>38</v>
      </c>
      <c r="C76" s="1" t="s">
        <v>11</v>
      </c>
      <c r="D76" s="1" t="s">
        <v>21</v>
      </c>
      <c r="E76" s="1">
        <v>1526.6</v>
      </c>
      <c r="F76" s="1">
        <v>13</v>
      </c>
      <c r="G76" s="1">
        <v>0.2</v>
      </c>
      <c r="H76" s="2">
        <v>45512</v>
      </c>
      <c r="I76" s="4">
        <v>305.32</v>
      </c>
      <c r="J76" s="17" t="str">
        <f t="shared" si="11"/>
        <v>Aug-24</v>
      </c>
      <c r="K76" s="20">
        <f t="shared" si="12"/>
        <v>10091.699999999999</v>
      </c>
      <c r="L76" s="30">
        <f t="shared" ca="1" si="13"/>
        <v>45979.997659837965</v>
      </c>
      <c r="M76" s="20">
        <f t="shared" si="14"/>
        <v>534.5852010884829</v>
      </c>
      <c r="N76" s="20" cm="1">
        <f t="array" ref="N76">SUM(_xlfn._xlws.FILTER($I:$I, $B:$B=B76))</f>
        <v>3846.93</v>
      </c>
      <c r="O76" s="31" t="str">
        <f t="shared" si="15"/>
        <v>High Value</v>
      </c>
    </row>
    <row r="77" spans="1:15" ht="15" thickBot="1" x14ac:dyDescent="0.4">
      <c r="A77" s="3" t="s">
        <v>13</v>
      </c>
      <c r="B77" s="1" t="s">
        <v>29</v>
      </c>
      <c r="C77" s="1" t="s">
        <v>11</v>
      </c>
      <c r="D77" s="1" t="s">
        <v>21</v>
      </c>
      <c r="E77" s="1">
        <v>1215.26</v>
      </c>
      <c r="F77" s="1">
        <v>5</v>
      </c>
      <c r="G77" s="1">
        <v>0.15</v>
      </c>
      <c r="H77" s="2">
        <v>45513</v>
      </c>
      <c r="I77" s="4">
        <v>258.24</v>
      </c>
      <c r="J77" s="17" t="str">
        <f t="shared" si="11"/>
        <v>Aug-24</v>
      </c>
      <c r="K77" s="20">
        <f t="shared" si="12"/>
        <v>10091.699999999999</v>
      </c>
      <c r="L77" s="30">
        <f t="shared" ca="1" si="13"/>
        <v>45979.997659837965</v>
      </c>
      <c r="M77" s="20">
        <f t="shared" si="14"/>
        <v>425.34969772381345</v>
      </c>
      <c r="N77" s="20" cm="1">
        <f t="array" ref="N77">SUM(_xlfn._xlws.FILTER($I:$I, $B:$B=B77))</f>
        <v>3241.1099999999997</v>
      </c>
      <c r="O77" s="31" t="str">
        <f t="shared" si="15"/>
        <v/>
      </c>
    </row>
    <row r="78" spans="1:15" ht="15" thickBot="1" x14ac:dyDescent="0.4">
      <c r="A78" s="3" t="s">
        <v>19</v>
      </c>
      <c r="B78" s="1" t="s">
        <v>53</v>
      </c>
      <c r="C78" s="1" t="s">
        <v>34</v>
      </c>
      <c r="D78" s="1" t="s">
        <v>27</v>
      </c>
      <c r="E78" s="1">
        <v>1261.3399999999999</v>
      </c>
      <c r="F78" s="1">
        <v>3</v>
      </c>
      <c r="G78" s="1">
        <v>0</v>
      </c>
      <c r="H78" s="2">
        <v>45519</v>
      </c>
      <c r="I78" s="4">
        <v>441.47</v>
      </c>
      <c r="J78" s="17" t="str">
        <f t="shared" si="11"/>
        <v>Aug-24</v>
      </c>
      <c r="K78" s="20">
        <f t="shared" si="12"/>
        <v>10091.699999999999</v>
      </c>
      <c r="L78" s="30">
        <f t="shared" ca="1" si="13"/>
        <v>45979.997659837965</v>
      </c>
      <c r="M78" s="20">
        <f t="shared" si="14"/>
        <v>441.5171416598447</v>
      </c>
      <c r="N78" s="20" cm="1">
        <f t="array" ref="N78">SUM(_xlfn._xlws.FILTER($I:$I, $B:$B=B78))</f>
        <v>2912.54</v>
      </c>
      <c r="O78" s="31" t="str">
        <f t="shared" si="15"/>
        <v/>
      </c>
    </row>
    <row r="79" spans="1:15" ht="15" thickBot="1" x14ac:dyDescent="0.4">
      <c r="A79" s="3" t="s">
        <v>72</v>
      </c>
      <c r="B79" s="1" t="s">
        <v>45</v>
      </c>
      <c r="C79" s="1" t="s">
        <v>24</v>
      </c>
      <c r="D79" s="1" t="s">
        <v>27</v>
      </c>
      <c r="E79" s="1">
        <v>518.07000000000005</v>
      </c>
      <c r="F79" s="1">
        <v>7</v>
      </c>
      <c r="G79" s="1">
        <v>0.05</v>
      </c>
      <c r="H79" s="2">
        <v>45522</v>
      </c>
      <c r="I79" s="4">
        <v>172.26</v>
      </c>
      <c r="J79" s="17" t="str">
        <f t="shared" si="11"/>
        <v>Aug-24</v>
      </c>
      <c r="K79" s="20">
        <f t="shared" si="12"/>
        <v>10091.699999999999</v>
      </c>
      <c r="L79" s="30">
        <f t="shared" ca="1" si="13"/>
        <v>45979.997659837965</v>
      </c>
      <c r="M79" s="20">
        <f t="shared" si="14"/>
        <v>180.73641131405603</v>
      </c>
      <c r="N79" s="20" cm="1">
        <f t="array" ref="N79">SUM(_xlfn._xlws.FILTER($I:$I, $B:$B=B79))</f>
        <v>3074.45</v>
      </c>
      <c r="O79" s="31" t="str">
        <f t="shared" si="15"/>
        <v/>
      </c>
    </row>
    <row r="80" spans="1:15" ht="15" thickBot="1" x14ac:dyDescent="0.4">
      <c r="A80" s="3" t="s">
        <v>30</v>
      </c>
      <c r="B80" s="1" t="s">
        <v>29</v>
      </c>
      <c r="C80" s="1" t="s">
        <v>11</v>
      </c>
      <c r="D80" s="1" t="s">
        <v>39</v>
      </c>
      <c r="E80" s="1">
        <v>1111.3399999999999</v>
      </c>
      <c r="F80" s="1">
        <v>1</v>
      </c>
      <c r="G80" s="1">
        <v>0</v>
      </c>
      <c r="H80" s="2">
        <v>45523</v>
      </c>
      <c r="I80" s="4">
        <v>500.1</v>
      </c>
      <c r="J80" s="17" t="str">
        <f t="shared" si="11"/>
        <v>Aug-24</v>
      </c>
      <c r="K80" s="20">
        <f t="shared" si="12"/>
        <v>10091.699999999999</v>
      </c>
      <c r="L80" s="30">
        <f t="shared" ca="1" si="13"/>
        <v>45979.997659837965</v>
      </c>
      <c r="M80" s="20">
        <f t="shared" si="14"/>
        <v>388.88874343057631</v>
      </c>
      <c r="N80" s="20" cm="1">
        <f t="array" ref="N80">SUM(_xlfn._xlws.FILTER($I:$I, $B:$B=B80))</f>
        <v>3241.1099999999997</v>
      </c>
      <c r="O80" s="31" t="str">
        <f t="shared" si="15"/>
        <v/>
      </c>
    </row>
    <row r="81" spans="1:15" ht="15" thickBot="1" x14ac:dyDescent="0.4">
      <c r="A81" s="3" t="s">
        <v>22</v>
      </c>
      <c r="B81" s="1" t="s">
        <v>31</v>
      </c>
      <c r="C81" s="1" t="s">
        <v>18</v>
      </c>
      <c r="D81" s="1" t="s">
        <v>15</v>
      </c>
      <c r="E81" s="1">
        <v>1291.47</v>
      </c>
      <c r="F81" s="1">
        <v>18</v>
      </c>
      <c r="G81" s="1">
        <v>0.1</v>
      </c>
      <c r="H81" s="2">
        <v>45526</v>
      </c>
      <c r="I81" s="4">
        <v>581.16</v>
      </c>
      <c r="J81" s="17" t="str">
        <f t="shared" si="11"/>
        <v>Aug-24</v>
      </c>
      <c r="K81" s="20">
        <f t="shared" si="12"/>
        <v>10091.699999999999</v>
      </c>
      <c r="L81" s="30">
        <f t="shared" ca="1" si="13"/>
        <v>45979.997659837965</v>
      </c>
      <c r="M81" s="20">
        <f t="shared" si="14"/>
        <v>452.08843258416374</v>
      </c>
      <c r="N81" s="20" cm="1">
        <f t="array" ref="N81">SUM(_xlfn._xlws.FILTER($I:$I, $B:$B=B81))</f>
        <v>6553.7899999999991</v>
      </c>
      <c r="O81" s="31" t="str">
        <f t="shared" si="15"/>
        <v>High Value</v>
      </c>
    </row>
    <row r="82" spans="1:15" ht="15" thickBot="1" x14ac:dyDescent="0.4">
      <c r="A82" s="3" t="s">
        <v>25</v>
      </c>
      <c r="B82" s="1" t="s">
        <v>55</v>
      </c>
      <c r="C82" s="1" t="s">
        <v>24</v>
      </c>
      <c r="D82" s="1" t="s">
        <v>12</v>
      </c>
      <c r="E82" s="1">
        <v>679.71</v>
      </c>
      <c r="F82" s="1">
        <v>19</v>
      </c>
      <c r="G82" s="1">
        <v>0</v>
      </c>
      <c r="H82" s="2">
        <v>45534</v>
      </c>
      <c r="I82" s="4">
        <v>271.88</v>
      </c>
      <c r="J82" s="17" t="str">
        <f t="shared" si="11"/>
        <v>Aug-24</v>
      </c>
      <c r="K82" s="20">
        <f t="shared" si="12"/>
        <v>10091.699999999999</v>
      </c>
      <c r="L82" s="30">
        <f t="shared" ca="1" si="13"/>
        <v>45979.997659837965</v>
      </c>
      <c r="M82" s="20">
        <f t="shared" si="14"/>
        <v>237.44877324591565</v>
      </c>
      <c r="N82" s="20" cm="1">
        <f t="array" ref="N82">SUM(_xlfn._xlws.FILTER($I:$I, $B:$B=B82))</f>
        <v>4061.91</v>
      </c>
      <c r="O82" s="31" t="str">
        <f t="shared" si="15"/>
        <v>High Value</v>
      </c>
    </row>
    <row r="83" spans="1:15" ht="15" thickBot="1" x14ac:dyDescent="0.4">
      <c r="A83" s="3" t="s">
        <v>68</v>
      </c>
      <c r="B83" s="1" t="s">
        <v>33</v>
      </c>
      <c r="C83" s="1" t="s">
        <v>18</v>
      </c>
      <c r="D83" s="1" t="s">
        <v>27</v>
      </c>
      <c r="E83" s="1">
        <v>1143.69</v>
      </c>
      <c r="F83" s="1">
        <v>17</v>
      </c>
      <c r="G83" s="1">
        <v>0</v>
      </c>
      <c r="H83" s="2">
        <v>45534</v>
      </c>
      <c r="I83" s="4">
        <v>400.29</v>
      </c>
      <c r="J83" s="17" t="str">
        <f t="shared" si="11"/>
        <v>Aug-24</v>
      </c>
      <c r="K83" s="20">
        <f t="shared" si="12"/>
        <v>10091.699999999999</v>
      </c>
      <c r="L83" s="30">
        <f t="shared" ca="1" si="13"/>
        <v>45979.997659837965</v>
      </c>
      <c r="M83" s="20">
        <f t="shared" si="14"/>
        <v>400.23893464868854</v>
      </c>
      <c r="N83" s="20" cm="1">
        <f t="array" ref="N83">SUM(_xlfn._xlws.FILTER($I:$I, $B:$B=B83))</f>
        <v>1386.78</v>
      </c>
      <c r="O83" s="31" t="str">
        <f t="shared" si="15"/>
        <v/>
      </c>
    </row>
    <row r="84" spans="1:15" ht="15" thickBot="1" x14ac:dyDescent="0.4">
      <c r="A84" s="3" t="s">
        <v>52</v>
      </c>
      <c r="B84" s="1" t="s">
        <v>50</v>
      </c>
      <c r="C84" s="1" t="s">
        <v>34</v>
      </c>
      <c r="D84" s="1" t="s">
        <v>21</v>
      </c>
      <c r="E84" s="1">
        <v>790.08</v>
      </c>
      <c r="F84" s="1">
        <v>7</v>
      </c>
      <c r="G84" s="1">
        <v>0.1</v>
      </c>
      <c r="H84" s="2">
        <v>45536</v>
      </c>
      <c r="I84" s="4">
        <v>177.77</v>
      </c>
      <c r="J84" s="17" t="str">
        <f t="shared" si="11"/>
        <v>Sep-24</v>
      </c>
      <c r="K84" s="20">
        <f t="shared" si="12"/>
        <v>20533.499999999996</v>
      </c>
      <c r="L84" s="30">
        <f t="shared" ca="1" si="13"/>
        <v>45979.997659837965</v>
      </c>
      <c r="M84" s="20">
        <f t="shared" si="14"/>
        <v>276.1727486630113</v>
      </c>
      <c r="N84" s="20" cm="1">
        <f t="array" ref="N84">SUM(_xlfn._xlws.FILTER($I:$I, $B:$B=B84))</f>
        <v>1885.71</v>
      </c>
      <c r="O84" s="31" t="str">
        <f t="shared" si="15"/>
        <v/>
      </c>
    </row>
    <row r="85" spans="1:15" ht="15" thickBot="1" x14ac:dyDescent="0.4">
      <c r="A85" s="3" t="s">
        <v>19</v>
      </c>
      <c r="B85" s="1" t="s">
        <v>48</v>
      </c>
      <c r="C85" s="1" t="s">
        <v>34</v>
      </c>
      <c r="D85" s="1" t="s">
        <v>12</v>
      </c>
      <c r="E85" s="1">
        <v>1070.68</v>
      </c>
      <c r="F85" s="1">
        <v>7</v>
      </c>
      <c r="G85" s="1">
        <v>0.05</v>
      </c>
      <c r="H85" s="2">
        <v>45536</v>
      </c>
      <c r="I85" s="4">
        <v>406.86</v>
      </c>
      <c r="J85" s="17" t="str">
        <f t="shared" si="11"/>
        <v>Sep-24</v>
      </c>
      <c r="K85" s="20">
        <f t="shared" si="12"/>
        <v>20533.499999999996</v>
      </c>
      <c r="L85" s="30">
        <f t="shared" ca="1" si="13"/>
        <v>45979.997659837965</v>
      </c>
      <c r="M85" s="20">
        <f t="shared" si="14"/>
        <v>374.62293895056268</v>
      </c>
      <c r="N85" s="20" cm="1">
        <f t="array" ref="N85">SUM(_xlfn._xlws.FILTER($I:$I, $B:$B=B85))</f>
        <v>2918.14</v>
      </c>
      <c r="O85" s="31" t="str">
        <f t="shared" si="15"/>
        <v/>
      </c>
    </row>
    <row r="86" spans="1:15" ht="15" thickBot="1" x14ac:dyDescent="0.4">
      <c r="A86" s="3" t="s">
        <v>58</v>
      </c>
      <c r="B86" s="1" t="s">
        <v>36</v>
      </c>
      <c r="C86" s="1" t="s">
        <v>11</v>
      </c>
      <c r="D86" s="1" t="s">
        <v>15</v>
      </c>
      <c r="E86" s="1">
        <v>1168.8900000000001</v>
      </c>
      <c r="F86" s="1">
        <v>4</v>
      </c>
      <c r="G86" s="1">
        <v>0.1</v>
      </c>
      <c r="H86" s="2">
        <v>45544</v>
      </c>
      <c r="I86" s="4">
        <v>526</v>
      </c>
      <c r="J86" s="17" t="str">
        <f t="shared" si="11"/>
        <v>Sep-24</v>
      </c>
      <c r="K86" s="20">
        <f t="shared" si="12"/>
        <v>20533.499999999996</v>
      </c>
      <c r="L86" s="30">
        <f t="shared" ca="1" si="13"/>
        <v>45979.997659837965</v>
      </c>
      <c r="M86" s="20">
        <f t="shared" si="14"/>
        <v>409.08050555120565</v>
      </c>
      <c r="N86" s="20" cm="1">
        <f t="array" ref="N86">SUM(_xlfn._xlws.FILTER($I:$I, $B:$B=B86))</f>
        <v>2919.45</v>
      </c>
      <c r="O86" s="31" t="str">
        <f t="shared" si="15"/>
        <v/>
      </c>
    </row>
    <row r="87" spans="1:15" ht="15" thickBot="1" x14ac:dyDescent="0.4">
      <c r="A87" s="3" t="s">
        <v>67</v>
      </c>
      <c r="B87" s="1" t="s">
        <v>10</v>
      </c>
      <c r="C87" s="1" t="s">
        <v>20</v>
      </c>
      <c r="D87" s="1" t="s">
        <v>21</v>
      </c>
      <c r="E87" s="1">
        <v>1335.87</v>
      </c>
      <c r="F87" s="1">
        <v>17</v>
      </c>
      <c r="G87" s="1">
        <v>0</v>
      </c>
      <c r="H87" s="2">
        <v>45544</v>
      </c>
      <c r="I87" s="4">
        <v>333.97</v>
      </c>
      <c r="J87" s="17" t="str">
        <f t="shared" si="11"/>
        <v>Sep-24</v>
      </c>
      <c r="K87" s="20">
        <f t="shared" si="12"/>
        <v>20533.499999999996</v>
      </c>
      <c r="L87" s="30">
        <f t="shared" ca="1" si="13"/>
        <v>45979.997659837965</v>
      </c>
      <c r="M87" s="20">
        <f t="shared" si="14"/>
        <v>467.66643846002717</v>
      </c>
      <c r="N87" s="20" cm="1">
        <f t="array" ref="N87">SUM(_xlfn._xlws.FILTER($I:$I, $B:$B=B87))</f>
        <v>2122.8200000000002</v>
      </c>
      <c r="O87" s="31" t="str">
        <f t="shared" si="15"/>
        <v/>
      </c>
    </row>
    <row r="88" spans="1:15" ht="15" thickBot="1" x14ac:dyDescent="0.4">
      <c r="A88" s="3" t="s">
        <v>40</v>
      </c>
      <c r="B88" s="1" t="s">
        <v>55</v>
      </c>
      <c r="C88" s="1" t="s">
        <v>18</v>
      </c>
      <c r="D88" s="1" t="s">
        <v>27</v>
      </c>
      <c r="E88" s="1">
        <v>873.7</v>
      </c>
      <c r="F88" s="1">
        <v>9</v>
      </c>
      <c r="G88" s="1">
        <v>0</v>
      </c>
      <c r="H88" s="2">
        <v>45546</v>
      </c>
      <c r="I88" s="4">
        <v>305.8</v>
      </c>
      <c r="J88" s="17" t="str">
        <f t="shared" si="11"/>
        <v>Sep-24</v>
      </c>
      <c r="K88" s="20">
        <f t="shared" si="12"/>
        <v>20533.499999999996</v>
      </c>
      <c r="L88" s="30">
        <f t="shared" ca="1" si="13"/>
        <v>45979.997659837965</v>
      </c>
      <c r="M88" s="20">
        <f t="shared" si="14"/>
        <v>305.51132639588747</v>
      </c>
      <c r="N88" s="20" cm="1">
        <f t="array" ref="N88">SUM(_xlfn._xlws.FILTER($I:$I, $B:$B=B88))</f>
        <v>4061.91</v>
      </c>
      <c r="O88" s="31" t="str">
        <f t="shared" si="15"/>
        <v>High Value</v>
      </c>
    </row>
    <row r="89" spans="1:15" ht="15" thickBot="1" x14ac:dyDescent="0.4">
      <c r="A89" s="3" t="s">
        <v>72</v>
      </c>
      <c r="B89" s="1" t="s">
        <v>64</v>
      </c>
      <c r="C89" s="1" t="s">
        <v>11</v>
      </c>
      <c r="D89" s="1" t="s">
        <v>39</v>
      </c>
      <c r="E89" s="1">
        <v>1443.98</v>
      </c>
      <c r="F89" s="1">
        <v>19</v>
      </c>
      <c r="G89" s="1">
        <v>0</v>
      </c>
      <c r="H89" s="2">
        <v>45547</v>
      </c>
      <c r="I89" s="4">
        <v>649.79</v>
      </c>
      <c r="J89" s="17" t="str">
        <f t="shared" si="11"/>
        <v>Sep-24</v>
      </c>
      <c r="K89" s="20">
        <f t="shared" si="12"/>
        <v>20533.499999999996</v>
      </c>
      <c r="L89" s="30">
        <f t="shared" ca="1" si="13"/>
        <v>45979.997659837965</v>
      </c>
      <c r="M89" s="20">
        <f t="shared" si="14"/>
        <v>505.59747934380187</v>
      </c>
      <c r="N89" s="20" cm="1">
        <f t="array" ref="N89">SUM(_xlfn._xlws.FILTER($I:$I, $B:$B=B89))</f>
        <v>2039.74</v>
      </c>
      <c r="O89" s="31" t="str">
        <f t="shared" si="15"/>
        <v/>
      </c>
    </row>
    <row r="90" spans="1:15" ht="15" thickBot="1" x14ac:dyDescent="0.4">
      <c r="A90" s="3" t="s">
        <v>40</v>
      </c>
      <c r="B90" s="1" t="s">
        <v>23</v>
      </c>
      <c r="C90" s="1" t="s">
        <v>18</v>
      </c>
      <c r="D90" s="1" t="s">
        <v>39</v>
      </c>
      <c r="E90" s="1">
        <v>1154.33</v>
      </c>
      <c r="F90" s="1">
        <v>11</v>
      </c>
      <c r="G90" s="1">
        <v>0.15</v>
      </c>
      <c r="H90" s="2">
        <v>45549</v>
      </c>
      <c r="I90" s="4">
        <v>441.53</v>
      </c>
      <c r="J90" s="17" t="str">
        <f t="shared" si="11"/>
        <v>Sep-24</v>
      </c>
      <c r="K90" s="20">
        <f t="shared" si="12"/>
        <v>20533.499999999996</v>
      </c>
      <c r="L90" s="30">
        <f t="shared" ca="1" si="13"/>
        <v>45979.997659837965</v>
      </c>
      <c r="M90" s="20">
        <f t="shared" si="14"/>
        <v>403.97204236308465</v>
      </c>
      <c r="N90" s="20" cm="1">
        <f t="array" ref="N90">SUM(_xlfn._xlws.FILTER($I:$I, $B:$B=B90))</f>
        <v>7077.9199999999992</v>
      </c>
      <c r="O90" s="31" t="str">
        <f t="shared" si="15"/>
        <v>High Value</v>
      </c>
    </row>
    <row r="91" spans="1:15" ht="15" thickBot="1" x14ac:dyDescent="0.4">
      <c r="A91" s="3" t="s">
        <v>49</v>
      </c>
      <c r="B91" s="1" t="s">
        <v>50</v>
      </c>
      <c r="C91" s="1" t="s">
        <v>20</v>
      </c>
      <c r="D91" s="1" t="s">
        <v>12</v>
      </c>
      <c r="E91" s="1">
        <v>1264.49</v>
      </c>
      <c r="F91" s="1">
        <v>16</v>
      </c>
      <c r="G91" s="1">
        <v>0.05</v>
      </c>
      <c r="H91" s="2">
        <v>45549</v>
      </c>
      <c r="I91" s="4">
        <v>480.51</v>
      </c>
      <c r="J91" s="17" t="str">
        <f t="shared" si="11"/>
        <v>Sep-24</v>
      </c>
      <c r="K91" s="20">
        <f t="shared" si="12"/>
        <v>20533.499999999996</v>
      </c>
      <c r="L91" s="30">
        <f t="shared" ca="1" si="13"/>
        <v>45979.997659837965</v>
      </c>
      <c r="M91" s="20">
        <f t="shared" si="14"/>
        <v>442.62233802265933</v>
      </c>
      <c r="N91" s="20" cm="1">
        <f t="array" ref="N91">SUM(_xlfn._xlws.FILTER($I:$I, $B:$B=B91))</f>
        <v>1885.71</v>
      </c>
      <c r="O91" s="31" t="str">
        <f t="shared" si="15"/>
        <v/>
      </c>
    </row>
    <row r="92" spans="1:15" ht="15" thickBot="1" x14ac:dyDescent="0.4">
      <c r="A92" s="3" t="s">
        <v>25</v>
      </c>
      <c r="B92" s="1" t="s">
        <v>66</v>
      </c>
      <c r="C92" s="1" t="s">
        <v>11</v>
      </c>
      <c r="D92" s="1" t="s">
        <v>27</v>
      </c>
      <c r="E92" s="1">
        <v>1101.55</v>
      </c>
      <c r="F92" s="1">
        <v>4</v>
      </c>
      <c r="G92" s="1">
        <v>0.1</v>
      </c>
      <c r="H92" s="2">
        <v>45551</v>
      </c>
      <c r="I92" s="4">
        <v>346.99</v>
      </c>
      <c r="J92" s="17" t="str">
        <f t="shared" si="11"/>
        <v>Sep-24</v>
      </c>
      <c r="K92" s="20">
        <f t="shared" si="12"/>
        <v>20533.499999999996</v>
      </c>
      <c r="L92" s="30">
        <f t="shared" ca="1" si="13"/>
        <v>45979.997659837965</v>
      </c>
      <c r="M92" s="20">
        <f t="shared" si="14"/>
        <v>385.45386330614605</v>
      </c>
      <c r="N92" s="20" cm="1">
        <f t="array" ref="N92">SUM(_xlfn._xlws.FILTER($I:$I, $B:$B=B92))</f>
        <v>1909.5700000000002</v>
      </c>
      <c r="O92" s="31" t="str">
        <f t="shared" si="15"/>
        <v/>
      </c>
    </row>
    <row r="93" spans="1:15" ht="15" thickBot="1" x14ac:dyDescent="0.4">
      <c r="A93" s="3" t="s">
        <v>73</v>
      </c>
      <c r="B93" s="1" t="s">
        <v>14</v>
      </c>
      <c r="C93" s="1" t="s">
        <v>20</v>
      </c>
      <c r="D93" s="1" t="s">
        <v>27</v>
      </c>
      <c r="E93" s="1">
        <v>727.73</v>
      </c>
      <c r="F93" s="1">
        <v>1</v>
      </c>
      <c r="G93" s="1">
        <v>0.1</v>
      </c>
      <c r="H93" s="2">
        <v>45552</v>
      </c>
      <c r="I93" s="4">
        <v>229.23</v>
      </c>
      <c r="J93" s="17" t="str">
        <f t="shared" si="11"/>
        <v>Sep-24</v>
      </c>
      <c r="K93" s="20">
        <f t="shared" si="12"/>
        <v>20533.499999999996</v>
      </c>
      <c r="L93" s="30">
        <f t="shared" ca="1" si="13"/>
        <v>45979.997659837965</v>
      </c>
      <c r="M93" s="20">
        <f t="shared" si="14"/>
        <v>254.2968777990454</v>
      </c>
      <c r="N93" s="20" cm="1">
        <f t="array" ref="N93">SUM(_xlfn._xlws.FILTER($I:$I, $B:$B=B93))</f>
        <v>2765.53</v>
      </c>
      <c r="O93" s="31" t="str">
        <f t="shared" si="15"/>
        <v/>
      </c>
    </row>
    <row r="94" spans="1:15" ht="15" thickBot="1" x14ac:dyDescent="0.4">
      <c r="A94" s="3" t="s">
        <v>74</v>
      </c>
      <c r="B94" s="1" t="s">
        <v>38</v>
      </c>
      <c r="C94" s="1" t="s">
        <v>18</v>
      </c>
      <c r="D94" s="1" t="s">
        <v>39</v>
      </c>
      <c r="E94" s="1">
        <v>875.41</v>
      </c>
      <c r="F94" s="1">
        <v>13</v>
      </c>
      <c r="G94" s="1">
        <v>0.15</v>
      </c>
      <c r="H94" s="2">
        <v>45552</v>
      </c>
      <c r="I94" s="4">
        <v>334.84</v>
      </c>
      <c r="J94" s="17" t="str">
        <f t="shared" si="11"/>
        <v>Sep-24</v>
      </c>
      <c r="K94" s="20">
        <f t="shared" si="12"/>
        <v>20533.499999999996</v>
      </c>
      <c r="L94" s="30">
        <f t="shared" ca="1" si="13"/>
        <v>45979.997659837965</v>
      </c>
      <c r="M94" s="20">
        <f t="shared" si="14"/>
        <v>306.1112901357011</v>
      </c>
      <c r="N94" s="20" cm="1">
        <f t="array" ref="N94">SUM(_xlfn._xlws.FILTER($I:$I, $B:$B=B94))</f>
        <v>3846.93</v>
      </c>
      <c r="O94" s="31" t="str">
        <f t="shared" si="15"/>
        <v>High Value</v>
      </c>
    </row>
    <row r="95" spans="1:15" ht="15" thickBot="1" x14ac:dyDescent="0.4">
      <c r="A95" s="3" t="s">
        <v>67</v>
      </c>
      <c r="B95" s="1" t="s">
        <v>23</v>
      </c>
      <c r="C95" s="1" t="s">
        <v>11</v>
      </c>
      <c r="D95" s="1" t="s">
        <v>21</v>
      </c>
      <c r="E95" s="1">
        <v>1158.94</v>
      </c>
      <c r="F95" s="1">
        <v>19</v>
      </c>
      <c r="G95" s="1">
        <v>0.2</v>
      </c>
      <c r="H95" s="2">
        <v>45553</v>
      </c>
      <c r="I95" s="4">
        <v>231.79</v>
      </c>
      <c r="J95" s="17" t="str">
        <f t="shared" si="11"/>
        <v>Sep-24</v>
      </c>
      <c r="K95" s="20">
        <f t="shared" si="12"/>
        <v>20533.499999999996</v>
      </c>
      <c r="L95" s="30">
        <f t="shared" ca="1" si="13"/>
        <v>45979.997659837965</v>
      </c>
      <c r="M95" s="20">
        <f t="shared" si="14"/>
        <v>405.58948846866417</v>
      </c>
      <c r="N95" s="20" cm="1">
        <f t="array" ref="N95">SUM(_xlfn._xlws.FILTER($I:$I, $B:$B=B95))</f>
        <v>7077.9199999999992</v>
      </c>
      <c r="O95" s="31" t="str">
        <f t="shared" si="15"/>
        <v>High Value</v>
      </c>
    </row>
    <row r="96" spans="1:15" ht="15" thickBot="1" x14ac:dyDescent="0.4">
      <c r="A96" s="3" t="s">
        <v>75</v>
      </c>
      <c r="B96" s="1" t="s">
        <v>47</v>
      </c>
      <c r="C96" s="1" t="s">
        <v>20</v>
      </c>
      <c r="D96" s="1" t="s">
        <v>12</v>
      </c>
      <c r="E96" s="1">
        <v>966.3</v>
      </c>
      <c r="F96" s="1">
        <v>2</v>
      </c>
      <c r="G96" s="1">
        <v>0.15</v>
      </c>
      <c r="H96" s="2">
        <v>45557</v>
      </c>
      <c r="I96" s="4">
        <v>328.54</v>
      </c>
      <c r="J96" s="17" t="str">
        <f t="shared" si="11"/>
        <v>Sep-24</v>
      </c>
      <c r="K96" s="20">
        <f t="shared" si="12"/>
        <v>20533.499999999996</v>
      </c>
      <c r="L96" s="30">
        <f t="shared" ca="1" si="13"/>
        <v>45979.997659837965</v>
      </c>
      <c r="M96" s="20">
        <f t="shared" si="14"/>
        <v>338.00059090275573</v>
      </c>
      <c r="N96" s="20" cm="1">
        <f t="array" ref="N96">SUM(_xlfn._xlws.FILTER($I:$I, $B:$B=B96))</f>
        <v>2339.64</v>
      </c>
      <c r="O96" s="31" t="str">
        <f t="shared" si="15"/>
        <v/>
      </c>
    </row>
    <row r="97" spans="1:15" ht="15" thickBot="1" x14ac:dyDescent="0.4">
      <c r="A97" s="3" t="s">
        <v>68</v>
      </c>
      <c r="B97" s="1" t="s">
        <v>17</v>
      </c>
      <c r="C97" s="1" t="s">
        <v>20</v>
      </c>
      <c r="D97" s="1" t="s">
        <v>12</v>
      </c>
      <c r="E97" s="1">
        <v>917.48</v>
      </c>
      <c r="F97" s="1">
        <v>6</v>
      </c>
      <c r="G97" s="1">
        <v>0</v>
      </c>
      <c r="H97" s="2">
        <v>45558</v>
      </c>
      <c r="I97" s="4">
        <v>366.99</v>
      </c>
      <c r="J97" s="17" t="str">
        <f t="shared" si="11"/>
        <v>Sep-24</v>
      </c>
      <c r="K97" s="20">
        <f t="shared" si="12"/>
        <v>20533.499999999996</v>
      </c>
      <c r="L97" s="30">
        <f t="shared" ca="1" si="13"/>
        <v>45979.997659837965</v>
      </c>
      <c r="M97" s="20">
        <f t="shared" si="14"/>
        <v>320.87180155906992</v>
      </c>
      <c r="N97" s="20" cm="1">
        <f t="array" ref="N97">SUM(_xlfn._xlws.FILTER($I:$I, $B:$B=B97))</f>
        <v>2203.6800000000003</v>
      </c>
      <c r="O97" s="31" t="str">
        <f t="shared" si="15"/>
        <v/>
      </c>
    </row>
    <row r="98" spans="1:15" ht="15" thickBot="1" x14ac:dyDescent="0.4">
      <c r="A98" s="3" t="s">
        <v>41</v>
      </c>
      <c r="B98" s="1" t="s">
        <v>61</v>
      </c>
      <c r="C98" s="1" t="s">
        <v>11</v>
      </c>
      <c r="D98" s="1" t="s">
        <v>27</v>
      </c>
      <c r="E98" s="1">
        <v>1172.97</v>
      </c>
      <c r="F98" s="1">
        <v>7</v>
      </c>
      <c r="G98" s="1">
        <v>0.15</v>
      </c>
      <c r="H98" s="2">
        <v>45559</v>
      </c>
      <c r="I98" s="4">
        <v>348.96</v>
      </c>
      <c r="J98" s="17" t="str">
        <f t="shared" ref="J98:J129" si="16">TEXT(H98,"MMM-YY")</f>
        <v>Sep-24</v>
      </c>
      <c r="K98" s="20">
        <f t="shared" ref="K98:K129" si="17">SUMIFS($E:$E, $J:$J, J98)</f>
        <v>20533.499999999996</v>
      </c>
      <c r="L98" s="30">
        <f t="shared" ref="L98:L129" ca="1" si="18">NOW()</f>
        <v>45979.997659837965</v>
      </c>
      <c r="M98" s="20">
        <f t="shared" ref="M98:M129" si="19">$S$13*E98+$S$14</f>
        <v>410.51199798304174</v>
      </c>
      <c r="N98" s="20" cm="1">
        <f t="array" ref="N98">SUM(_xlfn._xlws.FILTER($I:$I, $B:$B=B98))</f>
        <v>2718.8399999999997</v>
      </c>
      <c r="O98" s="31" t="str">
        <f t="shared" ref="O98:O129" si="20">IF(N98 &gt; AVERAGE($N:$N), "High Value", "")</f>
        <v/>
      </c>
    </row>
    <row r="99" spans="1:15" ht="15" thickBot="1" x14ac:dyDescent="0.4">
      <c r="A99" s="3" t="s">
        <v>57</v>
      </c>
      <c r="B99" s="1" t="s">
        <v>23</v>
      </c>
      <c r="C99" s="1" t="s">
        <v>24</v>
      </c>
      <c r="D99" s="1" t="s">
        <v>15</v>
      </c>
      <c r="E99" s="1">
        <v>1205.82</v>
      </c>
      <c r="F99" s="1">
        <v>11</v>
      </c>
      <c r="G99" s="1">
        <v>0.1</v>
      </c>
      <c r="H99" s="2">
        <v>45559</v>
      </c>
      <c r="I99" s="4">
        <v>542.62</v>
      </c>
      <c r="J99" s="17" t="str">
        <f t="shared" si="16"/>
        <v>Sep-24</v>
      </c>
      <c r="K99" s="20">
        <f t="shared" si="17"/>
        <v>20533.499999999996</v>
      </c>
      <c r="L99" s="30">
        <f t="shared" ca="1" si="18"/>
        <v>45979.997659837965</v>
      </c>
      <c r="M99" s="20">
        <f t="shared" si="19"/>
        <v>422.03761719525147</v>
      </c>
      <c r="N99" s="20" cm="1">
        <f t="array" ref="N99">SUM(_xlfn._xlws.FILTER($I:$I, $B:$B=B99))</f>
        <v>7077.9199999999992</v>
      </c>
      <c r="O99" s="31" t="str">
        <f t="shared" si="20"/>
        <v>High Value</v>
      </c>
    </row>
    <row r="100" spans="1:15" ht="15" thickBot="1" x14ac:dyDescent="0.4">
      <c r="A100" s="3" t="s">
        <v>16</v>
      </c>
      <c r="B100" s="1" t="s">
        <v>64</v>
      </c>
      <c r="C100" s="1" t="s">
        <v>11</v>
      </c>
      <c r="D100" s="1" t="s">
        <v>39</v>
      </c>
      <c r="E100" s="1">
        <v>826.93</v>
      </c>
      <c r="F100" s="1">
        <v>10</v>
      </c>
      <c r="G100" s="1">
        <v>0.2</v>
      </c>
      <c r="H100" s="2">
        <v>45564</v>
      </c>
      <c r="I100" s="4">
        <v>297.69</v>
      </c>
      <c r="J100" s="17" t="str">
        <f t="shared" si="16"/>
        <v>Sep-24</v>
      </c>
      <c r="K100" s="20">
        <f t="shared" si="17"/>
        <v>20533.499999999996</v>
      </c>
      <c r="L100" s="30">
        <f t="shared" ca="1" si="18"/>
        <v>45979.997659837965</v>
      </c>
      <c r="M100" s="20">
        <f t="shared" si="19"/>
        <v>289.10179182800152</v>
      </c>
      <c r="N100" s="20" cm="1">
        <f t="array" ref="N100">SUM(_xlfn._xlws.FILTER($I:$I, $B:$B=B100))</f>
        <v>2039.74</v>
      </c>
      <c r="O100" s="31" t="str">
        <f t="shared" si="20"/>
        <v/>
      </c>
    </row>
    <row r="101" spans="1:15" ht="15" thickBot="1" x14ac:dyDescent="0.4">
      <c r="A101" s="3" t="s">
        <v>67</v>
      </c>
      <c r="B101" s="1" t="s">
        <v>23</v>
      </c>
      <c r="C101" s="1" t="s">
        <v>34</v>
      </c>
      <c r="D101" s="1" t="s">
        <v>15</v>
      </c>
      <c r="E101" s="1">
        <v>902.19</v>
      </c>
      <c r="F101" s="1">
        <v>12</v>
      </c>
      <c r="G101" s="1">
        <v>0</v>
      </c>
      <c r="H101" s="2">
        <v>45564</v>
      </c>
      <c r="I101" s="4">
        <v>451.1</v>
      </c>
      <c r="J101" s="17" t="str">
        <f t="shared" si="16"/>
        <v>Sep-24</v>
      </c>
      <c r="K101" s="20">
        <f t="shared" si="17"/>
        <v>20533.499999999996</v>
      </c>
      <c r="L101" s="30">
        <f t="shared" ca="1" si="18"/>
        <v>45979.997659837965</v>
      </c>
      <c r="M101" s="20">
        <f t="shared" si="19"/>
        <v>315.50721349956649</v>
      </c>
      <c r="N101" s="20" cm="1">
        <f t="array" ref="N101">SUM(_xlfn._xlws.FILTER($I:$I, $B:$B=B101))</f>
        <v>7077.9199999999992</v>
      </c>
      <c r="O101" s="31" t="str">
        <f t="shared" si="20"/>
        <v>High Value</v>
      </c>
    </row>
    <row r="102" spans="1:15" ht="15" thickBot="1" x14ac:dyDescent="0.4">
      <c r="A102" s="3" t="s">
        <v>74</v>
      </c>
      <c r="B102" s="1" t="s">
        <v>38</v>
      </c>
      <c r="C102" s="1" t="s">
        <v>24</v>
      </c>
      <c r="D102" s="1" t="s">
        <v>12</v>
      </c>
      <c r="E102" s="1">
        <v>585.97</v>
      </c>
      <c r="F102" s="1">
        <v>17</v>
      </c>
      <c r="G102" s="1">
        <v>0.1</v>
      </c>
      <c r="H102" s="2">
        <v>45565</v>
      </c>
      <c r="I102" s="4">
        <v>210.95</v>
      </c>
      <c r="J102" s="17" t="str">
        <f t="shared" si="16"/>
        <v>Sep-24</v>
      </c>
      <c r="K102" s="20">
        <f t="shared" si="17"/>
        <v>20533.499999999996</v>
      </c>
      <c r="L102" s="30">
        <f t="shared" ca="1" si="18"/>
        <v>45979.997659837965</v>
      </c>
      <c r="M102" s="20">
        <f t="shared" si="19"/>
        <v>204.55953291250486</v>
      </c>
      <c r="N102" s="20" cm="1">
        <f t="array" ref="N102">SUM(_xlfn._xlws.FILTER($I:$I, $B:$B=B102))</f>
        <v>3846.93</v>
      </c>
      <c r="O102" s="31" t="str">
        <f t="shared" si="20"/>
        <v>High Value</v>
      </c>
    </row>
    <row r="103" spans="1:15" ht="15" thickBot="1" x14ac:dyDescent="0.4">
      <c r="A103" s="3" t="s">
        <v>60</v>
      </c>
      <c r="B103" s="1" t="s">
        <v>26</v>
      </c>
      <c r="C103" s="1" t="s">
        <v>24</v>
      </c>
      <c r="D103" s="1" t="s">
        <v>15</v>
      </c>
      <c r="E103" s="1">
        <v>990.19</v>
      </c>
      <c r="F103" s="1">
        <v>8</v>
      </c>
      <c r="G103" s="1">
        <v>0.1</v>
      </c>
      <c r="H103" s="2">
        <v>45565</v>
      </c>
      <c r="I103" s="4">
        <v>445.59</v>
      </c>
      <c r="J103" s="17" t="str">
        <f t="shared" si="16"/>
        <v>Sep-24</v>
      </c>
      <c r="K103" s="20">
        <f t="shared" si="17"/>
        <v>20533.499999999996</v>
      </c>
      <c r="L103" s="30">
        <f t="shared" ca="1" si="18"/>
        <v>45979.997659837965</v>
      </c>
      <c r="M103" s="20">
        <f t="shared" si="19"/>
        <v>346.38254046073729</v>
      </c>
      <c r="N103" s="20" cm="1">
        <f t="array" ref="N103">SUM(_xlfn._xlws.FILTER($I:$I, $B:$B=B103))</f>
        <v>2535.5100000000002</v>
      </c>
      <c r="O103" s="31" t="str">
        <f t="shared" si="20"/>
        <v/>
      </c>
    </row>
    <row r="104" spans="1:15" ht="15" thickBot="1" x14ac:dyDescent="0.4">
      <c r="A104" s="3" t="s">
        <v>44</v>
      </c>
      <c r="B104" s="1" t="s">
        <v>56</v>
      </c>
      <c r="C104" s="1" t="s">
        <v>34</v>
      </c>
      <c r="D104" s="1" t="s">
        <v>21</v>
      </c>
      <c r="E104" s="1">
        <v>1014.09</v>
      </c>
      <c r="F104" s="1">
        <v>13</v>
      </c>
      <c r="G104" s="1">
        <v>0.2</v>
      </c>
      <c r="H104" s="2">
        <v>45567</v>
      </c>
      <c r="I104" s="4">
        <v>202.82</v>
      </c>
      <c r="J104" s="17" t="str">
        <f t="shared" si="16"/>
        <v>Oct-24</v>
      </c>
      <c r="K104" s="20">
        <f t="shared" si="17"/>
        <v>14215.240000000002</v>
      </c>
      <c r="L104" s="30">
        <f t="shared" ca="1" si="18"/>
        <v>45979.997659837965</v>
      </c>
      <c r="M104" s="20">
        <f t="shared" si="19"/>
        <v>354.76799857860067</v>
      </c>
      <c r="N104" s="20" cm="1">
        <f t="array" ref="N104">SUM(_xlfn._xlws.FILTER($I:$I, $B:$B=B104))</f>
        <v>1273.1899999999998</v>
      </c>
      <c r="O104" s="31" t="str">
        <f t="shared" si="20"/>
        <v/>
      </c>
    </row>
    <row r="105" spans="1:15" ht="15" thickBot="1" x14ac:dyDescent="0.4">
      <c r="A105" s="3" t="s">
        <v>13</v>
      </c>
      <c r="B105" s="1" t="s">
        <v>48</v>
      </c>
      <c r="C105" s="1" t="s">
        <v>24</v>
      </c>
      <c r="D105" s="1" t="s">
        <v>21</v>
      </c>
      <c r="E105" s="1">
        <v>925.29</v>
      </c>
      <c r="F105" s="1">
        <v>17</v>
      </c>
      <c r="G105" s="1">
        <v>0</v>
      </c>
      <c r="H105" s="2">
        <v>45570</v>
      </c>
      <c r="I105" s="4">
        <v>231.32</v>
      </c>
      <c r="J105" s="17" t="str">
        <f t="shared" si="16"/>
        <v>Oct-24</v>
      </c>
      <c r="K105" s="20">
        <f t="shared" si="17"/>
        <v>14215.240000000002</v>
      </c>
      <c r="L105" s="30">
        <f t="shared" ca="1" si="18"/>
        <v>45979.997659837965</v>
      </c>
      <c r="M105" s="20">
        <f t="shared" si="19"/>
        <v>323.61198682687376</v>
      </c>
      <c r="N105" s="20" cm="1">
        <f t="array" ref="N105">SUM(_xlfn._xlws.FILTER($I:$I, $B:$B=B105))</f>
        <v>2918.14</v>
      </c>
      <c r="O105" s="31" t="str">
        <f t="shared" si="20"/>
        <v/>
      </c>
    </row>
    <row r="106" spans="1:15" ht="15" thickBot="1" x14ac:dyDescent="0.4">
      <c r="A106" s="3" t="s">
        <v>54</v>
      </c>
      <c r="B106" s="1" t="s">
        <v>47</v>
      </c>
      <c r="C106" s="1" t="s">
        <v>18</v>
      </c>
      <c r="D106" s="1" t="s">
        <v>27</v>
      </c>
      <c r="E106" s="1">
        <v>1286.54</v>
      </c>
      <c r="F106" s="1">
        <v>8</v>
      </c>
      <c r="G106" s="1">
        <v>0</v>
      </c>
      <c r="H106" s="2">
        <v>45575</v>
      </c>
      <c r="I106" s="4">
        <v>450.29</v>
      </c>
      <c r="J106" s="17" t="str">
        <f t="shared" si="16"/>
        <v>Oct-24</v>
      </c>
      <c r="K106" s="20">
        <f t="shared" si="17"/>
        <v>14215.240000000002</v>
      </c>
      <c r="L106" s="30">
        <f t="shared" ca="1" si="18"/>
        <v>45979.997659837965</v>
      </c>
      <c r="M106" s="20">
        <f t="shared" si="19"/>
        <v>450.3587125623618</v>
      </c>
      <c r="N106" s="20" cm="1">
        <f t="array" ref="N106">SUM(_xlfn._xlws.FILTER($I:$I, $B:$B=B106))</f>
        <v>2339.64</v>
      </c>
      <c r="O106" s="31" t="str">
        <f t="shared" si="20"/>
        <v/>
      </c>
    </row>
    <row r="107" spans="1:15" ht="15" thickBot="1" x14ac:dyDescent="0.4">
      <c r="A107" s="3" t="s">
        <v>37</v>
      </c>
      <c r="B107" s="1" t="s">
        <v>64</v>
      </c>
      <c r="C107" s="1" t="s">
        <v>20</v>
      </c>
      <c r="D107" s="1" t="s">
        <v>12</v>
      </c>
      <c r="E107" s="1">
        <v>961.62</v>
      </c>
      <c r="F107" s="1">
        <v>8</v>
      </c>
      <c r="G107" s="1">
        <v>0.2</v>
      </c>
      <c r="H107" s="2">
        <v>45577</v>
      </c>
      <c r="I107" s="4">
        <v>307.72000000000003</v>
      </c>
      <c r="J107" s="17" t="str">
        <f t="shared" si="16"/>
        <v>Oct-24</v>
      </c>
      <c r="K107" s="20">
        <f t="shared" si="17"/>
        <v>14215.240000000002</v>
      </c>
      <c r="L107" s="30">
        <f t="shared" ca="1" si="18"/>
        <v>45979.997659837965</v>
      </c>
      <c r="M107" s="20">
        <f t="shared" si="19"/>
        <v>336.3585848780026</v>
      </c>
      <c r="N107" s="20" cm="1">
        <f t="array" ref="N107">SUM(_xlfn._xlws.FILTER($I:$I, $B:$B=B107))</f>
        <v>2039.74</v>
      </c>
      <c r="O107" s="31" t="str">
        <f t="shared" si="20"/>
        <v/>
      </c>
    </row>
    <row r="108" spans="1:15" ht="15" thickBot="1" x14ac:dyDescent="0.4">
      <c r="A108" s="3" t="s">
        <v>44</v>
      </c>
      <c r="B108" s="1" t="s">
        <v>23</v>
      </c>
      <c r="C108" s="1" t="s">
        <v>18</v>
      </c>
      <c r="D108" s="1" t="s">
        <v>12</v>
      </c>
      <c r="E108" s="1">
        <v>1081.1400000000001</v>
      </c>
      <c r="F108" s="1">
        <v>19</v>
      </c>
      <c r="G108" s="1">
        <v>0.15</v>
      </c>
      <c r="H108" s="2">
        <v>45577</v>
      </c>
      <c r="I108" s="4">
        <v>367.59</v>
      </c>
      <c r="J108" s="17" t="str">
        <f t="shared" si="16"/>
        <v>Oct-24</v>
      </c>
      <c r="K108" s="20">
        <f t="shared" si="17"/>
        <v>14215.240000000002</v>
      </c>
      <c r="L108" s="30">
        <f t="shared" ca="1" si="18"/>
        <v>45979.997659837965</v>
      </c>
      <c r="M108" s="20">
        <f t="shared" si="19"/>
        <v>378.29289258708366</v>
      </c>
      <c r="N108" s="20" cm="1">
        <f t="array" ref="N108">SUM(_xlfn._xlws.FILTER($I:$I, $B:$B=B108))</f>
        <v>7077.9199999999992</v>
      </c>
      <c r="O108" s="31" t="str">
        <f t="shared" si="20"/>
        <v>High Value</v>
      </c>
    </row>
    <row r="109" spans="1:15" ht="15" thickBot="1" x14ac:dyDescent="0.4">
      <c r="A109" s="3" t="s">
        <v>58</v>
      </c>
      <c r="B109" s="1" t="s">
        <v>23</v>
      </c>
      <c r="C109" s="1" t="s">
        <v>11</v>
      </c>
      <c r="D109" s="1" t="s">
        <v>15</v>
      </c>
      <c r="E109" s="1">
        <v>1923.66</v>
      </c>
      <c r="F109" s="1">
        <v>9</v>
      </c>
      <c r="G109" s="1">
        <v>0.2</v>
      </c>
      <c r="H109" s="2">
        <v>45580</v>
      </c>
      <c r="I109" s="4">
        <v>769.46</v>
      </c>
      <c r="J109" s="17" t="str">
        <f t="shared" si="16"/>
        <v>Oct-24</v>
      </c>
      <c r="K109" s="20">
        <f t="shared" si="17"/>
        <v>14215.240000000002</v>
      </c>
      <c r="L109" s="30">
        <f t="shared" ca="1" si="18"/>
        <v>45979.997659837965</v>
      </c>
      <c r="M109" s="20">
        <f t="shared" si="19"/>
        <v>673.8960797612383</v>
      </c>
      <c r="N109" s="20" cm="1">
        <f t="array" ref="N109">SUM(_xlfn._xlws.FILTER($I:$I, $B:$B=B109))</f>
        <v>7077.9199999999992</v>
      </c>
      <c r="O109" s="31" t="str">
        <f t="shared" si="20"/>
        <v>High Value</v>
      </c>
    </row>
    <row r="110" spans="1:15" ht="15" thickBot="1" x14ac:dyDescent="0.4">
      <c r="A110" s="3" t="s">
        <v>54</v>
      </c>
      <c r="B110" s="1" t="s">
        <v>66</v>
      </c>
      <c r="C110" s="1" t="s">
        <v>34</v>
      </c>
      <c r="D110" s="1" t="s">
        <v>15</v>
      </c>
      <c r="E110" s="1">
        <v>728.71</v>
      </c>
      <c r="F110" s="1">
        <v>14</v>
      </c>
      <c r="G110" s="1">
        <v>0.1</v>
      </c>
      <c r="H110" s="2">
        <v>45581</v>
      </c>
      <c r="I110" s="4">
        <v>327.92</v>
      </c>
      <c r="J110" s="17" t="str">
        <f t="shared" si="16"/>
        <v>Oct-24</v>
      </c>
      <c r="K110" s="20">
        <f t="shared" si="17"/>
        <v>14215.240000000002</v>
      </c>
      <c r="L110" s="30">
        <f t="shared" ca="1" si="18"/>
        <v>45979.997659837965</v>
      </c>
      <c r="M110" s="20">
        <f t="shared" si="19"/>
        <v>254.64071666747662</v>
      </c>
      <c r="N110" s="20" cm="1">
        <f t="array" ref="N110">SUM(_xlfn._xlws.FILTER($I:$I, $B:$B=B110))</f>
        <v>1909.5700000000002</v>
      </c>
      <c r="O110" s="31" t="str">
        <f t="shared" si="20"/>
        <v/>
      </c>
    </row>
    <row r="111" spans="1:15" ht="15" thickBot="1" x14ac:dyDescent="0.4">
      <c r="A111" s="3" t="s">
        <v>9</v>
      </c>
      <c r="B111" s="1" t="s">
        <v>33</v>
      </c>
      <c r="C111" s="1" t="s">
        <v>34</v>
      </c>
      <c r="D111" s="1" t="s">
        <v>15</v>
      </c>
      <c r="E111" s="1">
        <v>1301.8900000000001</v>
      </c>
      <c r="F111" s="1">
        <v>7</v>
      </c>
      <c r="G111" s="1">
        <v>0.15</v>
      </c>
      <c r="H111" s="2">
        <v>45581</v>
      </c>
      <c r="I111" s="4">
        <v>553.29999999999995</v>
      </c>
      <c r="J111" s="17" t="str">
        <f t="shared" si="16"/>
        <v>Oct-24</v>
      </c>
      <c r="K111" s="20">
        <f t="shared" si="17"/>
        <v>14215.240000000002</v>
      </c>
      <c r="L111" s="30">
        <f t="shared" ca="1" si="18"/>
        <v>45979.997659837965</v>
      </c>
      <c r="M111" s="20">
        <f t="shared" si="19"/>
        <v>455.74435198115697</v>
      </c>
      <c r="N111" s="20" cm="1">
        <f t="array" ref="N111">SUM(_xlfn._xlws.FILTER($I:$I, $B:$B=B111))</f>
        <v>1386.78</v>
      </c>
      <c r="O111" s="31" t="str">
        <f t="shared" si="20"/>
        <v/>
      </c>
    </row>
    <row r="112" spans="1:15" ht="15" thickBot="1" x14ac:dyDescent="0.4">
      <c r="A112" s="3" t="s">
        <v>70</v>
      </c>
      <c r="B112" s="1" t="s">
        <v>66</v>
      </c>
      <c r="C112" s="1" t="s">
        <v>18</v>
      </c>
      <c r="D112" s="1" t="s">
        <v>12</v>
      </c>
      <c r="E112" s="1">
        <v>980.18</v>
      </c>
      <c r="F112" s="1">
        <v>16</v>
      </c>
      <c r="G112" s="1">
        <v>0.1</v>
      </c>
      <c r="H112" s="2">
        <v>45582</v>
      </c>
      <c r="I112" s="4">
        <v>352.86</v>
      </c>
      <c r="J112" s="17" t="str">
        <f t="shared" si="16"/>
        <v>Oct-24</v>
      </c>
      <c r="K112" s="20">
        <f t="shared" si="17"/>
        <v>14215.240000000002</v>
      </c>
      <c r="L112" s="30">
        <f t="shared" ca="1" si="18"/>
        <v>45979.997659837965</v>
      </c>
      <c r="M112" s="20">
        <f t="shared" si="19"/>
        <v>342.87047201890408</v>
      </c>
      <c r="N112" s="20" cm="1">
        <f t="array" ref="N112">SUM(_xlfn._xlws.FILTER($I:$I, $B:$B=B112))</f>
        <v>1909.5700000000002</v>
      </c>
      <c r="O112" s="31" t="str">
        <f t="shared" si="20"/>
        <v/>
      </c>
    </row>
    <row r="113" spans="1:15" ht="15" thickBot="1" x14ac:dyDescent="0.4">
      <c r="A113" s="3" t="s">
        <v>74</v>
      </c>
      <c r="B113" s="1" t="s">
        <v>23</v>
      </c>
      <c r="C113" s="1" t="s">
        <v>11</v>
      </c>
      <c r="D113" s="1" t="s">
        <v>15</v>
      </c>
      <c r="E113" s="1">
        <v>697.57</v>
      </c>
      <c r="F113" s="1">
        <v>17</v>
      </c>
      <c r="G113" s="1">
        <v>0.1</v>
      </c>
      <c r="H113" s="2">
        <v>45584</v>
      </c>
      <c r="I113" s="4">
        <v>313.91000000000003</v>
      </c>
      <c r="J113" s="17" t="str">
        <f t="shared" si="16"/>
        <v>Oct-24</v>
      </c>
      <c r="K113" s="20">
        <f t="shared" si="17"/>
        <v>14215.240000000002</v>
      </c>
      <c r="L113" s="30">
        <f t="shared" ca="1" si="18"/>
        <v>45979.997659837965</v>
      </c>
      <c r="M113" s="20">
        <f t="shared" si="19"/>
        <v>243.71506119508052</v>
      </c>
      <c r="N113" s="20" cm="1">
        <f t="array" ref="N113">SUM(_xlfn._xlws.FILTER($I:$I, $B:$B=B113))</f>
        <v>7077.9199999999992</v>
      </c>
      <c r="O113" s="31" t="str">
        <f t="shared" si="20"/>
        <v>High Value</v>
      </c>
    </row>
    <row r="114" spans="1:15" ht="15" thickBot="1" x14ac:dyDescent="0.4">
      <c r="A114" s="3" t="s">
        <v>46</v>
      </c>
      <c r="B114" s="1" t="s">
        <v>71</v>
      </c>
      <c r="C114" s="1" t="s">
        <v>11</v>
      </c>
      <c r="D114" s="1" t="s">
        <v>27</v>
      </c>
      <c r="E114" s="1">
        <v>1193.6099999999999</v>
      </c>
      <c r="F114" s="1">
        <v>1</v>
      </c>
      <c r="G114" s="1">
        <v>0.15</v>
      </c>
      <c r="H114" s="2">
        <v>45584</v>
      </c>
      <c r="I114" s="4">
        <v>355.1</v>
      </c>
      <c r="J114" s="17" t="str">
        <f t="shared" si="16"/>
        <v>Oct-24</v>
      </c>
      <c r="K114" s="20">
        <f t="shared" si="17"/>
        <v>14215.240000000002</v>
      </c>
      <c r="L114" s="30">
        <f t="shared" ca="1" si="18"/>
        <v>45979.997659837965</v>
      </c>
      <c r="M114" s="20">
        <f t="shared" si="19"/>
        <v>417.75366557938901</v>
      </c>
      <c r="N114" s="20" cm="1">
        <f t="array" ref="N114">SUM(_xlfn._xlws.FILTER($I:$I, $B:$B=B114))</f>
        <v>1937.8500000000001</v>
      </c>
      <c r="O114" s="31" t="str">
        <f t="shared" si="20"/>
        <v/>
      </c>
    </row>
    <row r="115" spans="1:15" ht="15" thickBot="1" x14ac:dyDescent="0.4">
      <c r="A115" s="3" t="s">
        <v>32</v>
      </c>
      <c r="B115" s="1" t="s">
        <v>38</v>
      </c>
      <c r="C115" s="1" t="s">
        <v>20</v>
      </c>
      <c r="D115" s="1" t="s">
        <v>21</v>
      </c>
      <c r="E115" s="1">
        <v>771.02</v>
      </c>
      <c r="F115" s="1">
        <v>1</v>
      </c>
      <c r="G115" s="1">
        <v>0</v>
      </c>
      <c r="H115" s="2">
        <v>45585</v>
      </c>
      <c r="I115" s="4">
        <v>192.76</v>
      </c>
      <c r="J115" s="17" t="str">
        <f t="shared" si="16"/>
        <v>Oct-24</v>
      </c>
      <c r="K115" s="20">
        <f t="shared" si="17"/>
        <v>14215.240000000002</v>
      </c>
      <c r="L115" s="30">
        <f t="shared" ca="1" si="18"/>
        <v>45979.997659837965</v>
      </c>
      <c r="M115" s="20">
        <f t="shared" si="19"/>
        <v>269.48543352801227</v>
      </c>
      <c r="N115" s="20" cm="1">
        <f t="array" ref="N115">SUM(_xlfn._xlws.FILTER($I:$I, $B:$B=B115))</f>
        <v>3846.93</v>
      </c>
      <c r="O115" s="31" t="str">
        <f t="shared" si="20"/>
        <v>High Value</v>
      </c>
    </row>
    <row r="116" spans="1:15" ht="15" thickBot="1" x14ac:dyDescent="0.4">
      <c r="A116" s="3" t="s">
        <v>67</v>
      </c>
      <c r="B116" s="1" t="s">
        <v>69</v>
      </c>
      <c r="C116" s="1" t="s">
        <v>24</v>
      </c>
      <c r="D116" s="1" t="s">
        <v>15</v>
      </c>
      <c r="E116" s="1">
        <v>661.09</v>
      </c>
      <c r="F116" s="1">
        <v>1</v>
      </c>
      <c r="G116" s="1">
        <v>0.2</v>
      </c>
      <c r="H116" s="2">
        <v>45593</v>
      </c>
      <c r="I116" s="4">
        <v>264.44</v>
      </c>
      <c r="J116" s="17" t="str">
        <f t="shared" si="16"/>
        <v>Oct-24</v>
      </c>
      <c r="K116" s="20">
        <f t="shared" si="17"/>
        <v>14215.240000000002</v>
      </c>
      <c r="L116" s="30">
        <f t="shared" ca="1" si="18"/>
        <v>45979.997659837965</v>
      </c>
      <c r="M116" s="20">
        <f t="shared" si="19"/>
        <v>230.91583474572246</v>
      </c>
      <c r="N116" s="20" cm="1">
        <f t="array" ref="N116">SUM(_xlfn._xlws.FILTER($I:$I, $B:$B=B116))</f>
        <v>1020.72</v>
      </c>
      <c r="O116" s="31" t="str">
        <f t="shared" si="20"/>
        <v/>
      </c>
    </row>
    <row r="117" spans="1:15" ht="15" thickBot="1" x14ac:dyDescent="0.4">
      <c r="A117" s="3" t="s">
        <v>13</v>
      </c>
      <c r="B117" s="1" t="s">
        <v>55</v>
      </c>
      <c r="C117" s="1" t="s">
        <v>11</v>
      </c>
      <c r="D117" s="1" t="s">
        <v>21</v>
      </c>
      <c r="E117" s="1">
        <v>688.83</v>
      </c>
      <c r="F117" s="1">
        <v>15</v>
      </c>
      <c r="G117" s="1">
        <v>0</v>
      </c>
      <c r="H117" s="2">
        <v>45595</v>
      </c>
      <c r="I117" s="4">
        <v>172.21</v>
      </c>
      <c r="J117" s="17" t="str">
        <f t="shared" si="16"/>
        <v>Oct-24</v>
      </c>
      <c r="K117" s="20">
        <f t="shared" si="17"/>
        <v>14215.240000000002</v>
      </c>
      <c r="L117" s="30">
        <f t="shared" ca="1" si="18"/>
        <v>45979.997659837965</v>
      </c>
      <c r="M117" s="20">
        <f t="shared" si="19"/>
        <v>240.64857985825515</v>
      </c>
      <c r="N117" s="20" cm="1">
        <f t="array" ref="N117">SUM(_xlfn._xlws.FILTER($I:$I, $B:$B=B117))</f>
        <v>4061.91</v>
      </c>
      <c r="O117" s="31" t="str">
        <f t="shared" si="20"/>
        <v>High Value</v>
      </c>
    </row>
    <row r="118" spans="1:15" ht="15" thickBot="1" x14ac:dyDescent="0.4">
      <c r="A118" s="3" t="s">
        <v>73</v>
      </c>
      <c r="B118" s="1" t="s">
        <v>29</v>
      </c>
      <c r="C118" s="1" t="s">
        <v>34</v>
      </c>
      <c r="D118" s="1" t="s">
        <v>12</v>
      </c>
      <c r="E118" s="1">
        <v>1249.0999999999999</v>
      </c>
      <c r="F118" s="1">
        <v>4</v>
      </c>
      <c r="G118" s="1">
        <v>0.05</v>
      </c>
      <c r="H118" s="2">
        <v>45597</v>
      </c>
      <c r="I118" s="4">
        <v>474.66</v>
      </c>
      <c r="J118" s="17" t="str">
        <f t="shared" si="16"/>
        <v>Nov-24</v>
      </c>
      <c r="K118" s="20">
        <f t="shared" si="17"/>
        <v>20135.030000000002</v>
      </c>
      <c r="L118" s="30">
        <f t="shared" ca="1" si="18"/>
        <v>45979.997659837965</v>
      </c>
      <c r="M118" s="20">
        <f t="shared" si="19"/>
        <v>437.22266436433637</v>
      </c>
      <c r="N118" s="20" cm="1">
        <f t="array" ref="N118">SUM(_xlfn._xlws.FILTER($I:$I, $B:$B=B118))</f>
        <v>3241.1099999999997</v>
      </c>
      <c r="O118" s="31" t="str">
        <f t="shared" si="20"/>
        <v/>
      </c>
    </row>
    <row r="119" spans="1:15" ht="15" thickBot="1" x14ac:dyDescent="0.4">
      <c r="A119" s="3" t="s">
        <v>44</v>
      </c>
      <c r="B119" s="1" t="s">
        <v>23</v>
      </c>
      <c r="C119" s="1" t="s">
        <v>18</v>
      </c>
      <c r="D119" s="1" t="s">
        <v>39</v>
      </c>
      <c r="E119" s="1">
        <v>1014.22</v>
      </c>
      <c r="F119" s="1">
        <v>14</v>
      </c>
      <c r="G119" s="1">
        <v>0.05</v>
      </c>
      <c r="H119" s="2">
        <v>45599</v>
      </c>
      <c r="I119" s="4">
        <v>433.58</v>
      </c>
      <c r="J119" s="17" t="str">
        <f t="shared" si="16"/>
        <v>Nov-24</v>
      </c>
      <c r="K119" s="20">
        <f t="shared" si="17"/>
        <v>20135.030000000002</v>
      </c>
      <c r="L119" s="30">
        <f t="shared" ca="1" si="18"/>
        <v>45979.997659837965</v>
      </c>
      <c r="M119" s="20">
        <f t="shared" si="19"/>
        <v>354.81360985706607</v>
      </c>
      <c r="N119" s="20" cm="1">
        <f t="array" ref="N119">SUM(_xlfn._xlws.FILTER($I:$I, $B:$B=B119))</f>
        <v>7077.9199999999992</v>
      </c>
      <c r="O119" s="31" t="str">
        <f t="shared" si="20"/>
        <v>High Value</v>
      </c>
    </row>
    <row r="120" spans="1:15" ht="15" thickBot="1" x14ac:dyDescent="0.4">
      <c r="A120" s="3" t="s">
        <v>54</v>
      </c>
      <c r="B120" s="1" t="s">
        <v>48</v>
      </c>
      <c r="C120" s="1" t="s">
        <v>18</v>
      </c>
      <c r="D120" s="1" t="s">
        <v>12</v>
      </c>
      <c r="E120" s="1">
        <v>1010.58</v>
      </c>
      <c r="F120" s="1">
        <v>2</v>
      </c>
      <c r="G120" s="1">
        <v>0.15</v>
      </c>
      <c r="H120" s="2">
        <v>45605</v>
      </c>
      <c r="I120" s="4">
        <v>343.6</v>
      </c>
      <c r="J120" s="17" t="str">
        <f t="shared" si="16"/>
        <v>Nov-24</v>
      </c>
      <c r="K120" s="20">
        <f t="shared" si="17"/>
        <v>20135.030000000002</v>
      </c>
      <c r="L120" s="30">
        <f t="shared" ca="1" si="18"/>
        <v>45979.997659837965</v>
      </c>
      <c r="M120" s="20">
        <f t="shared" si="19"/>
        <v>353.53649406003581</v>
      </c>
      <c r="N120" s="20" cm="1">
        <f t="array" ref="N120">SUM(_xlfn._xlws.FILTER($I:$I, $B:$B=B120))</f>
        <v>2918.14</v>
      </c>
      <c r="O120" s="31" t="str">
        <f t="shared" si="20"/>
        <v/>
      </c>
    </row>
    <row r="121" spans="1:15" ht="15" thickBot="1" x14ac:dyDescent="0.4">
      <c r="A121" s="3" t="s">
        <v>30</v>
      </c>
      <c r="B121" s="1" t="s">
        <v>59</v>
      </c>
      <c r="C121" s="1" t="s">
        <v>24</v>
      </c>
      <c r="D121" s="1" t="s">
        <v>27</v>
      </c>
      <c r="E121" s="1">
        <v>957.29</v>
      </c>
      <c r="F121" s="1">
        <v>4</v>
      </c>
      <c r="G121" s="1">
        <v>0.05</v>
      </c>
      <c r="H121" s="2">
        <v>45605</v>
      </c>
      <c r="I121" s="4">
        <v>318.3</v>
      </c>
      <c r="J121" s="17" t="str">
        <f t="shared" si="16"/>
        <v>Nov-24</v>
      </c>
      <c r="K121" s="20">
        <f t="shared" si="17"/>
        <v>20135.030000000002</v>
      </c>
      <c r="L121" s="30">
        <f t="shared" ca="1" si="18"/>
        <v>45979.997659837965</v>
      </c>
      <c r="M121" s="20">
        <f t="shared" si="19"/>
        <v>334.8393784491177</v>
      </c>
      <c r="N121" s="20" cm="1">
        <f t="array" ref="N121">SUM(_xlfn._xlws.FILTER($I:$I, $B:$B=B121))</f>
        <v>2285.64</v>
      </c>
      <c r="O121" s="31" t="str">
        <f t="shared" si="20"/>
        <v/>
      </c>
    </row>
    <row r="122" spans="1:15" ht="15" thickBot="1" x14ac:dyDescent="0.4">
      <c r="A122" s="3" t="s">
        <v>28</v>
      </c>
      <c r="B122" s="1" t="s">
        <v>45</v>
      </c>
      <c r="C122" s="1" t="s">
        <v>24</v>
      </c>
      <c r="D122" s="1" t="s">
        <v>27</v>
      </c>
      <c r="E122" s="1">
        <v>1077.92</v>
      </c>
      <c r="F122" s="1">
        <v>3</v>
      </c>
      <c r="G122" s="1">
        <v>0.05</v>
      </c>
      <c r="H122" s="2">
        <v>45608</v>
      </c>
      <c r="I122" s="4">
        <v>358.41</v>
      </c>
      <c r="J122" s="17" t="str">
        <f t="shared" si="16"/>
        <v>Nov-24</v>
      </c>
      <c r="K122" s="20">
        <f t="shared" si="17"/>
        <v>20135.030000000002</v>
      </c>
      <c r="L122" s="30">
        <f t="shared" ca="1" si="18"/>
        <v>45979.997659837965</v>
      </c>
      <c r="M122" s="20">
        <f t="shared" si="19"/>
        <v>377.16313630509535</v>
      </c>
      <c r="N122" s="20" cm="1">
        <f t="array" ref="N122">SUM(_xlfn._xlws.FILTER($I:$I, $B:$B=B122))</f>
        <v>3074.45</v>
      </c>
      <c r="O122" s="31" t="str">
        <f t="shared" si="20"/>
        <v/>
      </c>
    </row>
    <row r="123" spans="1:15" ht="15" thickBot="1" x14ac:dyDescent="0.4">
      <c r="A123" s="3" t="s">
        <v>52</v>
      </c>
      <c r="B123" s="1" t="s">
        <v>50</v>
      </c>
      <c r="C123" s="1" t="s">
        <v>20</v>
      </c>
      <c r="D123" s="1" t="s">
        <v>15</v>
      </c>
      <c r="E123" s="1">
        <v>1163.01</v>
      </c>
      <c r="F123" s="1">
        <v>5</v>
      </c>
      <c r="G123" s="1">
        <v>0</v>
      </c>
      <c r="H123" s="2">
        <v>45611</v>
      </c>
      <c r="I123" s="4">
        <v>581.5</v>
      </c>
      <c r="J123" s="17" t="str">
        <f t="shared" si="16"/>
        <v>Nov-24</v>
      </c>
      <c r="K123" s="20">
        <f t="shared" si="17"/>
        <v>20135.030000000002</v>
      </c>
      <c r="L123" s="30">
        <f t="shared" ca="1" si="18"/>
        <v>45979.997659837965</v>
      </c>
      <c r="M123" s="20">
        <f t="shared" si="19"/>
        <v>407.01747234061833</v>
      </c>
      <c r="N123" s="20" cm="1">
        <f t="array" ref="N123">SUM(_xlfn._xlws.FILTER($I:$I, $B:$B=B123))</f>
        <v>1885.71</v>
      </c>
      <c r="O123" s="31" t="str">
        <f t="shared" si="20"/>
        <v/>
      </c>
    </row>
    <row r="124" spans="1:15" ht="15" thickBot="1" x14ac:dyDescent="0.4">
      <c r="A124" s="3" t="s">
        <v>54</v>
      </c>
      <c r="B124" s="1" t="s">
        <v>45</v>
      </c>
      <c r="C124" s="1" t="s">
        <v>18</v>
      </c>
      <c r="D124" s="1" t="s">
        <v>39</v>
      </c>
      <c r="E124" s="1">
        <v>1014.56</v>
      </c>
      <c r="F124" s="1">
        <v>10</v>
      </c>
      <c r="G124" s="1">
        <v>0.1</v>
      </c>
      <c r="H124" s="2">
        <v>45612</v>
      </c>
      <c r="I124" s="4">
        <v>410.9</v>
      </c>
      <c r="J124" s="17" t="str">
        <f t="shared" si="16"/>
        <v>Nov-24</v>
      </c>
      <c r="K124" s="20">
        <f t="shared" si="17"/>
        <v>20135.030000000002</v>
      </c>
      <c r="L124" s="30">
        <f t="shared" ca="1" si="18"/>
        <v>45979.997659837965</v>
      </c>
      <c r="M124" s="20">
        <f t="shared" si="19"/>
        <v>354.93290089305236</v>
      </c>
      <c r="N124" s="20" cm="1">
        <f t="array" ref="N124">SUM(_xlfn._xlws.FILTER($I:$I, $B:$B=B124))</f>
        <v>3074.45</v>
      </c>
      <c r="O124" s="31" t="str">
        <f t="shared" si="20"/>
        <v/>
      </c>
    </row>
    <row r="125" spans="1:15" ht="15" thickBot="1" x14ac:dyDescent="0.4">
      <c r="A125" s="3" t="s">
        <v>9</v>
      </c>
      <c r="B125" s="1" t="s">
        <v>17</v>
      </c>
      <c r="C125" s="1" t="s">
        <v>20</v>
      </c>
      <c r="D125" s="1" t="s">
        <v>21</v>
      </c>
      <c r="E125" s="1">
        <v>718.04</v>
      </c>
      <c r="F125" s="1">
        <v>14</v>
      </c>
      <c r="G125" s="1">
        <v>0</v>
      </c>
      <c r="H125" s="2">
        <v>45613</v>
      </c>
      <c r="I125" s="4">
        <v>179.51</v>
      </c>
      <c r="J125" s="17" t="str">
        <f t="shared" si="16"/>
        <v>Nov-24</v>
      </c>
      <c r="K125" s="20">
        <f t="shared" si="17"/>
        <v>20135.030000000002</v>
      </c>
      <c r="L125" s="30">
        <f t="shared" ca="1" si="18"/>
        <v>45979.997659837965</v>
      </c>
      <c r="M125" s="20">
        <f t="shared" si="19"/>
        <v>250.89708327343465</v>
      </c>
      <c r="N125" s="20" cm="1">
        <f t="array" ref="N125">SUM(_xlfn._xlws.FILTER($I:$I, $B:$B=B125))</f>
        <v>2203.6800000000003</v>
      </c>
      <c r="O125" s="31" t="str">
        <f t="shared" si="20"/>
        <v/>
      </c>
    </row>
    <row r="126" spans="1:15" ht="15" thickBot="1" x14ac:dyDescent="0.4">
      <c r="A126" s="3" t="s">
        <v>72</v>
      </c>
      <c r="B126" s="1" t="s">
        <v>17</v>
      </c>
      <c r="C126" s="1" t="s">
        <v>34</v>
      </c>
      <c r="D126" s="1" t="s">
        <v>15</v>
      </c>
      <c r="E126" s="1">
        <v>1277.8499999999999</v>
      </c>
      <c r="F126" s="1">
        <v>18</v>
      </c>
      <c r="G126" s="1">
        <v>0.2</v>
      </c>
      <c r="H126" s="2">
        <v>45613</v>
      </c>
      <c r="I126" s="4">
        <v>511.14</v>
      </c>
      <c r="J126" s="17" t="str">
        <f t="shared" si="16"/>
        <v>Nov-24</v>
      </c>
      <c r="K126" s="20">
        <f t="shared" si="17"/>
        <v>20135.030000000002</v>
      </c>
      <c r="L126" s="30">
        <f t="shared" ca="1" si="18"/>
        <v>45979.997659837965</v>
      </c>
      <c r="M126" s="20">
        <f t="shared" si="19"/>
        <v>447.30977402494614</v>
      </c>
      <c r="N126" s="20" cm="1">
        <f t="array" ref="N126">SUM(_xlfn._xlws.FILTER($I:$I, $B:$B=B126))</f>
        <v>2203.6800000000003</v>
      </c>
      <c r="O126" s="31" t="str">
        <f t="shared" si="20"/>
        <v/>
      </c>
    </row>
    <row r="127" spans="1:15" ht="15" thickBot="1" x14ac:dyDescent="0.4">
      <c r="A127" s="3" t="s">
        <v>70</v>
      </c>
      <c r="B127" s="1" t="s">
        <v>23</v>
      </c>
      <c r="C127" s="1" t="s">
        <v>24</v>
      </c>
      <c r="D127" s="1" t="s">
        <v>21</v>
      </c>
      <c r="E127" s="1">
        <v>706.73</v>
      </c>
      <c r="F127" s="1">
        <v>1</v>
      </c>
      <c r="G127" s="1">
        <v>0.15</v>
      </c>
      <c r="H127" s="2">
        <v>45613</v>
      </c>
      <c r="I127" s="4">
        <v>150.18</v>
      </c>
      <c r="J127" s="17" t="str">
        <f t="shared" si="16"/>
        <v>Nov-24</v>
      </c>
      <c r="K127" s="20">
        <f t="shared" si="17"/>
        <v>20135.030000000002</v>
      </c>
      <c r="L127" s="30">
        <f t="shared" ca="1" si="18"/>
        <v>45979.997659837965</v>
      </c>
      <c r="M127" s="20">
        <f t="shared" si="19"/>
        <v>246.92890204694783</v>
      </c>
      <c r="N127" s="20" cm="1">
        <f t="array" ref="N127">SUM(_xlfn._xlws.FILTER($I:$I, $B:$B=B127))</f>
        <v>7077.9199999999992</v>
      </c>
      <c r="O127" s="31" t="str">
        <f t="shared" si="20"/>
        <v>High Value</v>
      </c>
    </row>
    <row r="128" spans="1:15" ht="15" thickBot="1" x14ac:dyDescent="0.4">
      <c r="A128" s="3" t="s">
        <v>65</v>
      </c>
      <c r="B128" s="1" t="s">
        <v>50</v>
      </c>
      <c r="C128" s="1" t="s">
        <v>18</v>
      </c>
      <c r="D128" s="1" t="s">
        <v>21</v>
      </c>
      <c r="E128" s="1">
        <v>1410.59</v>
      </c>
      <c r="F128" s="1">
        <v>15</v>
      </c>
      <c r="G128" s="1">
        <v>0</v>
      </c>
      <c r="H128" s="2">
        <v>45615</v>
      </c>
      <c r="I128" s="4">
        <v>352.65</v>
      </c>
      <c r="J128" s="17" t="str">
        <f t="shared" si="16"/>
        <v>Nov-24</v>
      </c>
      <c r="K128" s="20">
        <f t="shared" si="17"/>
        <v>20135.030000000002</v>
      </c>
      <c r="L128" s="30">
        <f t="shared" ca="1" si="18"/>
        <v>45979.997659837965</v>
      </c>
      <c r="M128" s="20">
        <f t="shared" si="19"/>
        <v>493.88239789796671</v>
      </c>
      <c r="N128" s="20" cm="1">
        <f t="array" ref="N128">SUM(_xlfn._xlws.FILTER($I:$I, $B:$B=B128))</f>
        <v>1885.71</v>
      </c>
      <c r="O128" s="31" t="str">
        <f t="shared" si="20"/>
        <v/>
      </c>
    </row>
    <row r="129" spans="1:15" ht="15" thickBot="1" x14ac:dyDescent="0.4">
      <c r="A129" s="3" t="s">
        <v>32</v>
      </c>
      <c r="B129" s="1" t="s">
        <v>61</v>
      </c>
      <c r="C129" s="1" t="s">
        <v>20</v>
      </c>
      <c r="D129" s="1" t="s">
        <v>27</v>
      </c>
      <c r="E129" s="1">
        <v>1350.33</v>
      </c>
      <c r="F129" s="1">
        <v>10</v>
      </c>
      <c r="G129" s="1">
        <v>0</v>
      </c>
      <c r="H129" s="2">
        <v>45615</v>
      </c>
      <c r="I129" s="4">
        <v>472.62</v>
      </c>
      <c r="J129" s="17" t="str">
        <f t="shared" si="16"/>
        <v>Nov-24</v>
      </c>
      <c r="K129" s="20">
        <f t="shared" si="17"/>
        <v>20135.030000000002</v>
      </c>
      <c r="L129" s="30">
        <f t="shared" ca="1" si="18"/>
        <v>45979.997659837965</v>
      </c>
      <c r="M129" s="20">
        <f t="shared" si="19"/>
        <v>472.73981604932862</v>
      </c>
      <c r="N129" s="20" cm="1">
        <f t="array" ref="N129">SUM(_xlfn._xlws.FILTER($I:$I, $B:$B=B129))</f>
        <v>2718.8399999999997</v>
      </c>
      <c r="O129" s="31" t="str">
        <f t="shared" si="20"/>
        <v/>
      </c>
    </row>
    <row r="130" spans="1:15" ht="15" thickBot="1" x14ac:dyDescent="0.4">
      <c r="A130" s="3" t="s">
        <v>41</v>
      </c>
      <c r="B130" s="1" t="s">
        <v>45</v>
      </c>
      <c r="C130" s="1" t="s">
        <v>18</v>
      </c>
      <c r="D130" s="1" t="s">
        <v>21</v>
      </c>
      <c r="E130" s="1">
        <v>919.18</v>
      </c>
      <c r="F130" s="1">
        <v>4</v>
      </c>
      <c r="G130" s="1">
        <v>0.15</v>
      </c>
      <c r="H130" s="2">
        <v>45615</v>
      </c>
      <c r="I130" s="4">
        <v>195.33</v>
      </c>
      <c r="J130" s="17" t="str">
        <f t="shared" ref="J130:J161" si="21">TEXT(H130,"MMM-YY")</f>
        <v>Nov-24</v>
      </c>
      <c r="K130" s="20">
        <f t="shared" ref="K130:K161" si="22">SUMIFS($E:$E, $J:$J, J130)</f>
        <v>20135.030000000002</v>
      </c>
      <c r="L130" s="30">
        <f t="shared" ref="L130:L161" ca="1" si="23">NOW()</f>
        <v>45979.997659837965</v>
      </c>
      <c r="M130" s="20">
        <f t="shared" ref="M130:M161" si="24">$S$13*E130+$S$14</f>
        <v>321.46825673900156</v>
      </c>
      <c r="N130" s="20" cm="1">
        <f t="array" ref="N130">SUM(_xlfn._xlws.FILTER($I:$I, $B:$B=B130))</f>
        <v>3074.45</v>
      </c>
      <c r="O130" s="31" t="str">
        <f t="shared" ref="O130:O161" si="25">IF(N130 &gt; AVERAGE($N:$N), "High Value", "")</f>
        <v/>
      </c>
    </row>
    <row r="131" spans="1:15" ht="15" thickBot="1" x14ac:dyDescent="0.4">
      <c r="A131" s="3" t="s">
        <v>74</v>
      </c>
      <c r="B131" s="1" t="s">
        <v>23</v>
      </c>
      <c r="C131" s="1" t="s">
        <v>11</v>
      </c>
      <c r="D131" s="1" t="s">
        <v>21</v>
      </c>
      <c r="E131" s="1">
        <v>258.51</v>
      </c>
      <c r="F131" s="1">
        <v>19</v>
      </c>
      <c r="G131" s="1">
        <v>0</v>
      </c>
      <c r="H131" s="2">
        <v>45616</v>
      </c>
      <c r="I131" s="4">
        <v>64.63</v>
      </c>
      <c r="J131" s="17" t="str">
        <f t="shared" si="21"/>
        <v>Nov-24</v>
      </c>
      <c r="K131" s="20">
        <f t="shared" si="22"/>
        <v>20135.030000000002</v>
      </c>
      <c r="L131" s="30">
        <f t="shared" ca="1" si="23"/>
        <v>45979.997659837965</v>
      </c>
      <c r="M131" s="20">
        <f t="shared" si="24"/>
        <v>89.668231018130029</v>
      </c>
      <c r="N131" s="20" cm="1">
        <f t="array" ref="N131">SUM(_xlfn._xlws.FILTER($I:$I, $B:$B=B131))</f>
        <v>7077.9199999999992</v>
      </c>
      <c r="O131" s="31" t="str">
        <f t="shared" si="25"/>
        <v>High Value</v>
      </c>
    </row>
    <row r="132" spans="1:15" ht="15" thickBot="1" x14ac:dyDescent="0.4">
      <c r="A132" s="3" t="s">
        <v>63</v>
      </c>
      <c r="B132" s="1" t="s">
        <v>61</v>
      </c>
      <c r="C132" s="1" t="s">
        <v>18</v>
      </c>
      <c r="D132" s="1" t="s">
        <v>12</v>
      </c>
      <c r="E132" s="1">
        <v>1213.48</v>
      </c>
      <c r="F132" s="1">
        <v>5</v>
      </c>
      <c r="G132" s="1">
        <v>0.05</v>
      </c>
      <c r="H132" s="2">
        <v>45616</v>
      </c>
      <c r="I132" s="4">
        <v>461.12</v>
      </c>
      <c r="J132" s="17" t="str">
        <f t="shared" si="21"/>
        <v>Nov-24</v>
      </c>
      <c r="K132" s="20">
        <f t="shared" si="22"/>
        <v>20135.030000000002</v>
      </c>
      <c r="L132" s="30">
        <f t="shared" ca="1" si="23"/>
        <v>45979.997659837965</v>
      </c>
      <c r="M132" s="20">
        <f t="shared" si="24"/>
        <v>424.72517406482615</v>
      </c>
      <c r="N132" s="20" cm="1">
        <f t="array" ref="N132">SUM(_xlfn._xlws.FILTER($I:$I, $B:$B=B132))</f>
        <v>2718.8399999999997</v>
      </c>
      <c r="O132" s="31" t="str">
        <f t="shared" si="25"/>
        <v/>
      </c>
    </row>
    <row r="133" spans="1:15" ht="15" thickBot="1" x14ac:dyDescent="0.4">
      <c r="A133" s="3" t="s">
        <v>57</v>
      </c>
      <c r="B133" s="1" t="s">
        <v>38</v>
      </c>
      <c r="C133" s="1" t="s">
        <v>34</v>
      </c>
      <c r="D133" s="1" t="s">
        <v>12</v>
      </c>
      <c r="E133" s="1">
        <v>1150.28</v>
      </c>
      <c r="F133" s="1">
        <v>8</v>
      </c>
      <c r="G133" s="1">
        <v>0.05</v>
      </c>
      <c r="H133" s="2">
        <v>45622</v>
      </c>
      <c r="I133" s="4">
        <v>437.11</v>
      </c>
      <c r="J133" s="17" t="str">
        <f t="shared" si="21"/>
        <v>Nov-24</v>
      </c>
      <c r="K133" s="20">
        <f t="shared" si="22"/>
        <v>20135.030000000002</v>
      </c>
      <c r="L133" s="30">
        <f t="shared" ca="1" si="23"/>
        <v>45979.997659837965</v>
      </c>
      <c r="M133" s="20">
        <f t="shared" si="24"/>
        <v>402.55107561089437</v>
      </c>
      <c r="N133" s="20" cm="1">
        <f t="array" ref="N133">SUM(_xlfn._xlws.FILTER($I:$I, $B:$B=B133))</f>
        <v>3846.93</v>
      </c>
      <c r="O133" s="31" t="str">
        <f t="shared" si="25"/>
        <v>High Value</v>
      </c>
    </row>
    <row r="134" spans="1:15" ht="15" thickBot="1" x14ac:dyDescent="0.4">
      <c r="A134" s="3" t="s">
        <v>37</v>
      </c>
      <c r="B134" s="1" t="s">
        <v>71</v>
      </c>
      <c r="C134" s="1" t="s">
        <v>20</v>
      </c>
      <c r="D134" s="1" t="s">
        <v>27</v>
      </c>
      <c r="E134" s="1">
        <v>853.86</v>
      </c>
      <c r="F134" s="1">
        <v>8</v>
      </c>
      <c r="G134" s="1">
        <v>0.1</v>
      </c>
      <c r="H134" s="2">
        <v>45622</v>
      </c>
      <c r="I134" s="4">
        <v>268.97000000000003</v>
      </c>
      <c r="J134" s="17" t="str">
        <f t="shared" si="21"/>
        <v>Nov-24</v>
      </c>
      <c r="K134" s="20">
        <f t="shared" si="22"/>
        <v>20135.030000000002</v>
      </c>
      <c r="L134" s="30">
        <f t="shared" ca="1" si="23"/>
        <v>45979.997659837965</v>
      </c>
      <c r="M134" s="20">
        <f t="shared" si="24"/>
        <v>298.55034359009619</v>
      </c>
      <c r="N134" s="20" cm="1">
        <f t="array" ref="N134">SUM(_xlfn._xlws.FILTER($I:$I, $B:$B=B134))</f>
        <v>1937.8500000000001</v>
      </c>
      <c r="O134" s="31" t="str">
        <f t="shared" si="25"/>
        <v/>
      </c>
    </row>
    <row r="135" spans="1:15" ht="15" thickBot="1" x14ac:dyDescent="0.4">
      <c r="A135" s="3" t="s">
        <v>75</v>
      </c>
      <c r="B135" s="1" t="s">
        <v>45</v>
      </c>
      <c r="C135" s="1" t="s">
        <v>20</v>
      </c>
      <c r="D135" s="1" t="s">
        <v>21</v>
      </c>
      <c r="E135" s="1">
        <v>1061.04</v>
      </c>
      <c r="F135" s="1">
        <v>1</v>
      </c>
      <c r="G135" s="1">
        <v>0</v>
      </c>
      <c r="H135" s="2">
        <v>45624</v>
      </c>
      <c r="I135" s="4">
        <v>265.26</v>
      </c>
      <c r="J135" s="17" t="str">
        <f t="shared" si="21"/>
        <v>Nov-24</v>
      </c>
      <c r="K135" s="20">
        <f t="shared" si="22"/>
        <v>20135.030000000002</v>
      </c>
      <c r="L135" s="30">
        <f t="shared" ca="1" si="23"/>
        <v>45979.997659837965</v>
      </c>
      <c r="M135" s="20">
        <f t="shared" si="24"/>
        <v>371.24068722436169</v>
      </c>
      <c r="N135" s="20" cm="1">
        <f t="array" ref="N135">SUM(_xlfn._xlws.FILTER($I:$I, $B:$B=B135))</f>
        <v>3074.45</v>
      </c>
      <c r="O135" s="31" t="str">
        <f t="shared" si="25"/>
        <v/>
      </c>
    </row>
    <row r="136" spans="1:15" ht="15" thickBot="1" x14ac:dyDescent="0.4">
      <c r="A136" s="3" t="s">
        <v>28</v>
      </c>
      <c r="B136" s="1" t="s">
        <v>43</v>
      </c>
      <c r="C136" s="1" t="s">
        <v>11</v>
      </c>
      <c r="D136" s="1" t="s">
        <v>21</v>
      </c>
      <c r="E136" s="1">
        <v>894.55</v>
      </c>
      <c r="F136" s="1">
        <v>19</v>
      </c>
      <c r="G136" s="1">
        <v>0.2</v>
      </c>
      <c r="H136" s="2">
        <v>45625</v>
      </c>
      <c r="I136" s="4">
        <v>178.91</v>
      </c>
      <c r="J136" s="17" t="str">
        <f t="shared" si="21"/>
        <v>Nov-24</v>
      </c>
      <c r="K136" s="20">
        <f t="shared" si="22"/>
        <v>20135.030000000002</v>
      </c>
      <c r="L136" s="30">
        <f t="shared" ca="1" si="23"/>
        <v>45979.997659837965</v>
      </c>
      <c r="M136" s="20">
        <f t="shared" si="24"/>
        <v>312.82667374975574</v>
      </c>
      <c r="N136" s="20" cm="1">
        <f t="array" ref="N136">SUM(_xlfn._xlws.FILTER($I:$I, $B:$B=B136))</f>
        <v>2060.81</v>
      </c>
      <c r="O136" s="31" t="str">
        <f t="shared" si="25"/>
        <v/>
      </c>
    </row>
    <row r="137" spans="1:15" ht="15" thickBot="1" x14ac:dyDescent="0.4">
      <c r="A137" s="3" t="s">
        <v>25</v>
      </c>
      <c r="B137" s="1" t="s">
        <v>38</v>
      </c>
      <c r="C137" s="1" t="s">
        <v>24</v>
      </c>
      <c r="D137" s="1" t="s">
        <v>39</v>
      </c>
      <c r="E137" s="1">
        <v>833.91</v>
      </c>
      <c r="F137" s="1">
        <v>3</v>
      </c>
      <c r="G137" s="1">
        <v>0.05</v>
      </c>
      <c r="H137" s="2">
        <v>45626</v>
      </c>
      <c r="I137" s="4">
        <v>356.5</v>
      </c>
      <c r="J137" s="17" t="str">
        <f t="shared" si="21"/>
        <v>Nov-24</v>
      </c>
      <c r="K137" s="20">
        <f t="shared" si="22"/>
        <v>20135.030000000002</v>
      </c>
      <c r="L137" s="30">
        <f t="shared" ca="1" si="23"/>
        <v>45979.997659837965</v>
      </c>
      <c r="M137" s="20">
        <f t="shared" si="24"/>
        <v>291.5507666256035</v>
      </c>
      <c r="N137" s="20" cm="1">
        <f t="array" ref="N137">SUM(_xlfn._xlws.FILTER($I:$I, $B:$B=B137))</f>
        <v>3846.93</v>
      </c>
      <c r="O137" s="31" t="str">
        <f t="shared" si="25"/>
        <v>High Value</v>
      </c>
    </row>
    <row r="138" spans="1:15" ht="15" thickBot="1" x14ac:dyDescent="0.4">
      <c r="A138" s="3" t="s">
        <v>58</v>
      </c>
      <c r="B138" s="1" t="s">
        <v>71</v>
      </c>
      <c r="C138" s="1" t="s">
        <v>11</v>
      </c>
      <c r="D138" s="1" t="s">
        <v>27</v>
      </c>
      <c r="E138" s="1">
        <v>820.19</v>
      </c>
      <c r="F138" s="1">
        <v>4</v>
      </c>
      <c r="G138" s="1">
        <v>0.2</v>
      </c>
      <c r="H138" s="2">
        <v>45630</v>
      </c>
      <c r="I138" s="4">
        <v>229.65</v>
      </c>
      <c r="J138" s="17" t="str">
        <f t="shared" si="21"/>
        <v>Dec-24</v>
      </c>
      <c r="K138" s="20">
        <f t="shared" si="22"/>
        <v>11120.04</v>
      </c>
      <c r="L138" s="30">
        <f t="shared" ca="1" si="23"/>
        <v>45979.997659837965</v>
      </c>
      <c r="M138" s="20">
        <f t="shared" si="24"/>
        <v>286.73702246756642</v>
      </c>
      <c r="N138" s="20" cm="1">
        <f t="array" ref="N138">SUM(_xlfn._xlws.FILTER($I:$I, $B:$B=B138))</f>
        <v>1937.8500000000001</v>
      </c>
      <c r="O138" s="31" t="str">
        <f t="shared" si="25"/>
        <v/>
      </c>
    </row>
    <row r="139" spans="1:15" ht="15" thickBot="1" x14ac:dyDescent="0.4">
      <c r="A139" s="3" t="s">
        <v>58</v>
      </c>
      <c r="B139" s="1" t="s">
        <v>38</v>
      </c>
      <c r="C139" s="1" t="s">
        <v>34</v>
      </c>
      <c r="D139" s="1" t="s">
        <v>21</v>
      </c>
      <c r="E139" s="1">
        <v>511.74</v>
      </c>
      <c r="F139" s="1">
        <v>8</v>
      </c>
      <c r="G139" s="1">
        <v>0.05</v>
      </c>
      <c r="H139" s="2">
        <v>45631</v>
      </c>
      <c r="I139" s="4">
        <v>121.54</v>
      </c>
      <c r="J139" s="17" t="str">
        <f t="shared" si="21"/>
        <v>Dec-24</v>
      </c>
      <c r="K139" s="20">
        <f t="shared" si="22"/>
        <v>11120.04</v>
      </c>
      <c r="L139" s="30">
        <f t="shared" ca="1" si="23"/>
        <v>45979.997659837965</v>
      </c>
      <c r="M139" s="20">
        <f t="shared" si="24"/>
        <v>178.51549290878091</v>
      </c>
      <c r="N139" s="20" cm="1">
        <f t="array" ref="N139">SUM(_xlfn._xlws.FILTER($I:$I, $B:$B=B139))</f>
        <v>3846.93</v>
      </c>
      <c r="O139" s="31" t="str">
        <f t="shared" si="25"/>
        <v>High Value</v>
      </c>
    </row>
    <row r="140" spans="1:15" ht="15" thickBot="1" x14ac:dyDescent="0.4">
      <c r="A140" s="3" t="s">
        <v>65</v>
      </c>
      <c r="B140" s="1" t="s">
        <v>61</v>
      </c>
      <c r="C140" s="1" t="s">
        <v>20</v>
      </c>
      <c r="D140" s="1" t="s">
        <v>27</v>
      </c>
      <c r="E140" s="1">
        <v>806.03</v>
      </c>
      <c r="F140" s="1">
        <v>19</v>
      </c>
      <c r="G140" s="1">
        <v>0.05</v>
      </c>
      <c r="H140" s="2">
        <v>45638</v>
      </c>
      <c r="I140" s="4">
        <v>268</v>
      </c>
      <c r="J140" s="17" t="str">
        <f t="shared" si="21"/>
        <v>Dec-24</v>
      </c>
      <c r="K140" s="20">
        <f t="shared" si="22"/>
        <v>11120.04</v>
      </c>
      <c r="L140" s="30">
        <f t="shared" ca="1" si="23"/>
        <v>45979.997659837965</v>
      </c>
      <c r="M140" s="20">
        <f t="shared" si="24"/>
        <v>281.76890167472351</v>
      </c>
      <c r="N140" s="20" cm="1">
        <f t="array" ref="N140">SUM(_xlfn._xlws.FILTER($I:$I, $B:$B=B140))</f>
        <v>2718.8399999999997</v>
      </c>
      <c r="O140" s="31" t="str">
        <f t="shared" si="25"/>
        <v/>
      </c>
    </row>
    <row r="141" spans="1:15" ht="15" thickBot="1" x14ac:dyDescent="0.4">
      <c r="A141" s="3" t="s">
        <v>28</v>
      </c>
      <c r="B141" s="1" t="s">
        <v>26</v>
      </c>
      <c r="C141" s="1" t="s">
        <v>34</v>
      </c>
      <c r="D141" s="1" t="s">
        <v>27</v>
      </c>
      <c r="E141" s="1">
        <v>1432.47</v>
      </c>
      <c r="F141" s="1">
        <v>16</v>
      </c>
      <c r="G141" s="1">
        <v>0.15</v>
      </c>
      <c r="H141" s="2">
        <v>45640</v>
      </c>
      <c r="I141" s="4">
        <v>426.16</v>
      </c>
      <c r="J141" s="17" t="str">
        <f t="shared" si="21"/>
        <v>Dec-24</v>
      </c>
      <c r="K141" s="20">
        <f t="shared" si="22"/>
        <v>11120.04</v>
      </c>
      <c r="L141" s="30">
        <f t="shared" ca="1" si="23"/>
        <v>45979.997659837965</v>
      </c>
      <c r="M141" s="20">
        <f t="shared" si="24"/>
        <v>501.55912691967603</v>
      </c>
      <c r="N141" s="20" cm="1">
        <f t="array" ref="N141">SUM(_xlfn._xlws.FILTER($I:$I, $B:$B=B141))</f>
        <v>2535.5100000000002</v>
      </c>
      <c r="O141" s="31" t="str">
        <f t="shared" si="25"/>
        <v/>
      </c>
    </row>
    <row r="142" spans="1:15" ht="15" thickBot="1" x14ac:dyDescent="0.4">
      <c r="A142" s="3" t="s">
        <v>74</v>
      </c>
      <c r="B142" s="1" t="s">
        <v>29</v>
      </c>
      <c r="C142" s="1" t="s">
        <v>34</v>
      </c>
      <c r="D142" s="1" t="s">
        <v>21</v>
      </c>
      <c r="E142" s="1">
        <v>1488.58</v>
      </c>
      <c r="F142" s="1">
        <v>10</v>
      </c>
      <c r="G142" s="1">
        <v>0.15</v>
      </c>
      <c r="H142" s="2">
        <v>45640</v>
      </c>
      <c r="I142" s="4">
        <v>316.32</v>
      </c>
      <c r="J142" s="17" t="str">
        <f t="shared" si="21"/>
        <v>Dec-24</v>
      </c>
      <c r="K142" s="20">
        <f t="shared" si="22"/>
        <v>11120.04</v>
      </c>
      <c r="L142" s="30">
        <f t="shared" ca="1" si="23"/>
        <v>45979.997659837965</v>
      </c>
      <c r="M142" s="20">
        <f t="shared" si="24"/>
        <v>521.2456564173043</v>
      </c>
      <c r="N142" s="20" cm="1">
        <f t="array" ref="N142">SUM(_xlfn._xlws.FILTER($I:$I, $B:$B=B142))</f>
        <v>3241.1099999999997</v>
      </c>
      <c r="O142" s="31" t="str">
        <f t="shared" si="25"/>
        <v/>
      </c>
    </row>
    <row r="143" spans="1:15" ht="15" thickBot="1" x14ac:dyDescent="0.4">
      <c r="A143" s="3" t="s">
        <v>30</v>
      </c>
      <c r="B143" s="1" t="s">
        <v>66</v>
      </c>
      <c r="C143" s="1" t="s">
        <v>18</v>
      </c>
      <c r="D143" s="1" t="s">
        <v>12</v>
      </c>
      <c r="E143" s="1">
        <v>1231.26</v>
      </c>
      <c r="F143" s="1">
        <v>9</v>
      </c>
      <c r="G143" s="1">
        <v>0</v>
      </c>
      <c r="H143" s="2">
        <v>45646</v>
      </c>
      <c r="I143" s="4">
        <v>492.5</v>
      </c>
      <c r="J143" s="17" t="str">
        <f t="shared" si="21"/>
        <v>Dec-24</v>
      </c>
      <c r="K143" s="20">
        <f t="shared" si="22"/>
        <v>11120.04</v>
      </c>
      <c r="L143" s="30">
        <f t="shared" ca="1" si="23"/>
        <v>45979.997659837965</v>
      </c>
      <c r="M143" s="20">
        <f t="shared" si="24"/>
        <v>430.96339353493545</v>
      </c>
      <c r="N143" s="20" cm="1">
        <f t="array" ref="N143">SUM(_xlfn._xlws.FILTER($I:$I, $B:$B=B143))</f>
        <v>1909.5700000000002</v>
      </c>
      <c r="O143" s="31" t="str">
        <f t="shared" si="25"/>
        <v/>
      </c>
    </row>
    <row r="144" spans="1:15" ht="15" thickBot="1" x14ac:dyDescent="0.4">
      <c r="A144" s="3" t="s">
        <v>30</v>
      </c>
      <c r="B144" s="1" t="s">
        <v>43</v>
      </c>
      <c r="C144" s="1" t="s">
        <v>11</v>
      </c>
      <c r="D144" s="1" t="s">
        <v>21</v>
      </c>
      <c r="E144" s="1">
        <v>1161.67</v>
      </c>
      <c r="F144" s="1">
        <v>19</v>
      </c>
      <c r="G144" s="1">
        <v>0.2</v>
      </c>
      <c r="H144" s="2">
        <v>45647</v>
      </c>
      <c r="I144" s="4">
        <v>232.33</v>
      </c>
      <c r="J144" s="17" t="str">
        <f t="shared" si="21"/>
        <v>Dec-24</v>
      </c>
      <c r="K144" s="20">
        <f t="shared" si="22"/>
        <v>11120.04</v>
      </c>
      <c r="L144" s="30">
        <f t="shared" ca="1" si="23"/>
        <v>45979.997659837965</v>
      </c>
      <c r="M144" s="20">
        <f t="shared" si="24"/>
        <v>406.54732531643685</v>
      </c>
      <c r="N144" s="20" cm="1">
        <f t="array" ref="N144">SUM(_xlfn._xlws.FILTER($I:$I, $B:$B=B144))</f>
        <v>2060.81</v>
      </c>
      <c r="O144" s="31" t="str">
        <f t="shared" si="25"/>
        <v/>
      </c>
    </row>
    <row r="145" spans="1:15" ht="15" thickBot="1" x14ac:dyDescent="0.4">
      <c r="A145" s="3" t="s">
        <v>49</v>
      </c>
      <c r="B145" s="1" t="s">
        <v>45</v>
      </c>
      <c r="C145" s="1" t="s">
        <v>34</v>
      </c>
      <c r="D145" s="1" t="s">
        <v>39</v>
      </c>
      <c r="E145" s="1">
        <v>388.23</v>
      </c>
      <c r="F145" s="1">
        <v>16</v>
      </c>
      <c r="G145" s="1">
        <v>0.05</v>
      </c>
      <c r="H145" s="2">
        <v>45650</v>
      </c>
      <c r="I145" s="4">
        <v>165.97</v>
      </c>
      <c r="J145" s="17" t="str">
        <f t="shared" si="21"/>
        <v>Dec-24</v>
      </c>
      <c r="K145" s="20">
        <f t="shared" si="22"/>
        <v>11120.04</v>
      </c>
      <c r="L145" s="30">
        <f t="shared" ca="1" si="23"/>
        <v>45979.997659837965</v>
      </c>
      <c r="M145" s="20">
        <f t="shared" si="24"/>
        <v>135.18126980680134</v>
      </c>
      <c r="N145" s="20" cm="1">
        <f t="array" ref="N145">SUM(_xlfn._xlws.FILTER($I:$I, $B:$B=B145))</f>
        <v>3074.45</v>
      </c>
      <c r="O145" s="31" t="str">
        <f t="shared" si="25"/>
        <v/>
      </c>
    </row>
    <row r="146" spans="1:15" ht="15" thickBot="1" x14ac:dyDescent="0.4">
      <c r="A146" s="3" t="s">
        <v>72</v>
      </c>
      <c r="B146" s="1" t="s">
        <v>31</v>
      </c>
      <c r="C146" s="1" t="s">
        <v>24</v>
      </c>
      <c r="D146" s="1" t="s">
        <v>15</v>
      </c>
      <c r="E146" s="1">
        <v>1589.42</v>
      </c>
      <c r="F146" s="1">
        <v>6</v>
      </c>
      <c r="G146" s="1">
        <v>0.15</v>
      </c>
      <c r="H146" s="2">
        <v>45651</v>
      </c>
      <c r="I146" s="4">
        <v>675.5</v>
      </c>
      <c r="J146" s="17" t="str">
        <f t="shared" si="21"/>
        <v>Dec-24</v>
      </c>
      <c r="K146" s="20">
        <f t="shared" si="22"/>
        <v>11120.04</v>
      </c>
      <c r="L146" s="30">
        <f t="shared" ca="1" si="23"/>
        <v>45979.997659837965</v>
      </c>
      <c r="M146" s="20">
        <f t="shared" si="24"/>
        <v>556.62597426690047</v>
      </c>
      <c r="N146" s="20" cm="1">
        <f t="array" ref="N146">SUM(_xlfn._xlws.FILTER($I:$I, $B:$B=B146))</f>
        <v>6553.7899999999991</v>
      </c>
      <c r="O146" s="31" t="str">
        <f t="shared" si="25"/>
        <v>High Value</v>
      </c>
    </row>
    <row r="147" spans="1:15" ht="15" thickBot="1" x14ac:dyDescent="0.4">
      <c r="A147" s="3" t="s">
        <v>28</v>
      </c>
      <c r="B147" s="1" t="s">
        <v>71</v>
      </c>
      <c r="C147" s="1" t="s">
        <v>24</v>
      </c>
      <c r="D147" s="1" t="s">
        <v>15</v>
      </c>
      <c r="E147" s="1">
        <v>336.66</v>
      </c>
      <c r="F147" s="1">
        <v>13</v>
      </c>
      <c r="G147" s="1">
        <v>0.2</v>
      </c>
      <c r="H147" s="2">
        <v>45651</v>
      </c>
      <c r="I147" s="4">
        <v>134.66</v>
      </c>
      <c r="J147" s="17" t="str">
        <f t="shared" si="21"/>
        <v>Dec-24</v>
      </c>
      <c r="K147" s="20">
        <f t="shared" si="22"/>
        <v>11120.04</v>
      </c>
      <c r="L147" s="30">
        <f t="shared" ca="1" si="23"/>
        <v>45979.997659837965</v>
      </c>
      <c r="M147" s="20">
        <f t="shared" si="24"/>
        <v>117.08762649557886</v>
      </c>
      <c r="N147" s="20" cm="1">
        <f t="array" ref="N147">SUM(_xlfn._xlws.FILTER($I:$I, $B:$B=B147))</f>
        <v>1937.8500000000001</v>
      </c>
      <c r="O147" s="31" t="str">
        <f t="shared" si="25"/>
        <v/>
      </c>
    </row>
    <row r="148" spans="1:15" ht="15" thickBot="1" x14ac:dyDescent="0.4">
      <c r="A148" s="3" t="s">
        <v>49</v>
      </c>
      <c r="B148" s="1" t="s">
        <v>23</v>
      </c>
      <c r="C148" s="1" t="s">
        <v>11</v>
      </c>
      <c r="D148" s="1" t="s">
        <v>12</v>
      </c>
      <c r="E148" s="1">
        <v>1353.79</v>
      </c>
      <c r="F148" s="1">
        <v>14</v>
      </c>
      <c r="G148" s="1">
        <v>0.1</v>
      </c>
      <c r="H148" s="2">
        <v>45656</v>
      </c>
      <c r="I148" s="4">
        <v>487.36</v>
      </c>
      <c r="J148" s="17" t="str">
        <f t="shared" si="21"/>
        <v>Dec-24</v>
      </c>
      <c r="K148" s="20">
        <f t="shared" si="22"/>
        <v>11120.04</v>
      </c>
      <c r="L148" s="30">
        <f t="shared" ca="1" si="23"/>
        <v>45979.997659837965</v>
      </c>
      <c r="M148" s="20">
        <f t="shared" si="24"/>
        <v>473.95377776848375</v>
      </c>
      <c r="N148" s="20" cm="1">
        <f t="array" ref="N148">SUM(_xlfn._xlws.FILTER($I:$I, $B:$B=B148))</f>
        <v>7077.9199999999992</v>
      </c>
      <c r="O148" s="31" t="str">
        <f t="shared" si="25"/>
        <v>High Value</v>
      </c>
    </row>
    <row r="149" spans="1:15" ht="15" thickBot="1" x14ac:dyDescent="0.4">
      <c r="A149" s="3" t="s">
        <v>63</v>
      </c>
      <c r="B149" s="1" t="s">
        <v>69</v>
      </c>
      <c r="C149" s="1" t="s">
        <v>34</v>
      </c>
      <c r="D149" s="1" t="s">
        <v>15</v>
      </c>
      <c r="E149" s="1">
        <v>662.61</v>
      </c>
      <c r="F149" s="1">
        <v>11</v>
      </c>
      <c r="G149" s="1">
        <v>0.05</v>
      </c>
      <c r="H149" s="2">
        <v>45658</v>
      </c>
      <c r="I149" s="4">
        <v>314.74</v>
      </c>
      <c r="J149" s="17" t="str">
        <f t="shared" si="21"/>
        <v>Jan-25</v>
      </c>
      <c r="K149" s="20">
        <f t="shared" si="22"/>
        <v>14914.650000000001</v>
      </c>
      <c r="L149" s="30">
        <f t="shared" ca="1" si="23"/>
        <v>45979.997659837965</v>
      </c>
      <c r="M149" s="20">
        <f t="shared" si="24"/>
        <v>231.44913584777902</v>
      </c>
      <c r="N149" s="20" cm="1">
        <f t="array" ref="N149">SUM(_xlfn._xlws.FILTER($I:$I, $B:$B=B149))</f>
        <v>1020.72</v>
      </c>
      <c r="O149" s="31" t="str">
        <f t="shared" si="25"/>
        <v/>
      </c>
    </row>
    <row r="150" spans="1:15" ht="15" thickBot="1" x14ac:dyDescent="0.4">
      <c r="A150" s="3" t="s">
        <v>52</v>
      </c>
      <c r="B150" s="1" t="s">
        <v>48</v>
      </c>
      <c r="C150" s="1" t="s">
        <v>24</v>
      </c>
      <c r="D150" s="1" t="s">
        <v>39</v>
      </c>
      <c r="E150" s="1">
        <v>309.42</v>
      </c>
      <c r="F150" s="1">
        <v>1</v>
      </c>
      <c r="G150" s="1">
        <v>0.2</v>
      </c>
      <c r="H150" s="2">
        <v>45658</v>
      </c>
      <c r="I150" s="4">
        <v>111.39</v>
      </c>
      <c r="J150" s="17" t="str">
        <f t="shared" si="21"/>
        <v>Jan-25</v>
      </c>
      <c r="K150" s="20">
        <f t="shared" si="22"/>
        <v>14914.650000000001</v>
      </c>
      <c r="L150" s="30">
        <f t="shared" ca="1" si="23"/>
        <v>45979.997659837965</v>
      </c>
      <c r="M150" s="20">
        <f t="shared" si="24"/>
        <v>107.53030937714372</v>
      </c>
      <c r="N150" s="20" cm="1">
        <f t="array" ref="N150">SUM(_xlfn._xlws.FILTER($I:$I, $B:$B=B150))</f>
        <v>2918.14</v>
      </c>
      <c r="O150" s="31" t="str">
        <f t="shared" si="25"/>
        <v/>
      </c>
    </row>
    <row r="151" spans="1:15" ht="15" thickBot="1" x14ac:dyDescent="0.4">
      <c r="A151" s="3" t="s">
        <v>63</v>
      </c>
      <c r="B151" s="1" t="s">
        <v>29</v>
      </c>
      <c r="C151" s="1" t="s">
        <v>24</v>
      </c>
      <c r="D151" s="1" t="s">
        <v>12</v>
      </c>
      <c r="E151" s="1">
        <v>884.63</v>
      </c>
      <c r="F151" s="1">
        <v>18</v>
      </c>
      <c r="G151" s="1">
        <v>0.1</v>
      </c>
      <c r="H151" s="2">
        <v>45659</v>
      </c>
      <c r="I151" s="4">
        <v>318.47000000000003</v>
      </c>
      <c r="J151" s="17" t="str">
        <f t="shared" si="21"/>
        <v>Jan-25</v>
      </c>
      <c r="K151" s="20">
        <f t="shared" si="22"/>
        <v>14914.650000000001</v>
      </c>
      <c r="L151" s="30">
        <f t="shared" ca="1" si="23"/>
        <v>45979.997659837965</v>
      </c>
      <c r="M151" s="20">
        <f t="shared" si="24"/>
        <v>309.34618234686013</v>
      </c>
      <c r="N151" s="20" cm="1">
        <f t="array" ref="N151">SUM(_xlfn._xlws.FILTER($I:$I, $B:$B=B151))</f>
        <v>3241.1099999999997</v>
      </c>
      <c r="O151" s="31" t="str">
        <f t="shared" si="25"/>
        <v/>
      </c>
    </row>
    <row r="152" spans="1:15" ht="15" thickBot="1" x14ac:dyDescent="0.4">
      <c r="A152" s="3" t="s">
        <v>52</v>
      </c>
      <c r="B152" s="1" t="s">
        <v>23</v>
      </c>
      <c r="C152" s="1" t="s">
        <v>34</v>
      </c>
      <c r="D152" s="1" t="s">
        <v>39</v>
      </c>
      <c r="E152" s="1">
        <v>745.05</v>
      </c>
      <c r="F152" s="1">
        <v>10</v>
      </c>
      <c r="G152" s="1">
        <v>0.1</v>
      </c>
      <c r="H152" s="2">
        <v>45660</v>
      </c>
      <c r="I152" s="4">
        <v>301.75</v>
      </c>
      <c r="J152" s="17" t="str">
        <f t="shared" si="21"/>
        <v>Jan-25</v>
      </c>
      <c r="K152" s="20">
        <f t="shared" si="22"/>
        <v>14914.650000000001</v>
      </c>
      <c r="L152" s="30">
        <f t="shared" ca="1" si="23"/>
        <v>45979.997659837965</v>
      </c>
      <c r="M152" s="20">
        <f t="shared" si="24"/>
        <v>260.37370351458492</v>
      </c>
      <c r="N152" s="20" cm="1">
        <f t="array" ref="N152">SUM(_xlfn._xlws.FILTER($I:$I, $B:$B=B152))</f>
        <v>7077.9199999999992</v>
      </c>
      <c r="O152" s="31" t="str">
        <f t="shared" si="25"/>
        <v>High Value</v>
      </c>
    </row>
    <row r="153" spans="1:15" ht="15" thickBot="1" x14ac:dyDescent="0.4">
      <c r="A153" s="3" t="s">
        <v>60</v>
      </c>
      <c r="B153" s="1" t="s">
        <v>17</v>
      </c>
      <c r="C153" s="1" t="s">
        <v>20</v>
      </c>
      <c r="D153" s="1" t="s">
        <v>15</v>
      </c>
      <c r="E153" s="1">
        <v>870.23</v>
      </c>
      <c r="F153" s="1">
        <v>5</v>
      </c>
      <c r="G153" s="1">
        <v>0.05</v>
      </c>
      <c r="H153" s="2">
        <v>45660</v>
      </c>
      <c r="I153" s="4">
        <v>413.36</v>
      </c>
      <c r="J153" s="17" t="str">
        <f t="shared" si="21"/>
        <v>Jan-25</v>
      </c>
      <c r="K153" s="20">
        <f t="shared" si="22"/>
        <v>14914.650000000001</v>
      </c>
      <c r="L153" s="30">
        <f t="shared" ca="1" si="23"/>
        <v>45979.997659837965</v>
      </c>
      <c r="M153" s="20">
        <f t="shared" si="24"/>
        <v>304.29385611685035</v>
      </c>
      <c r="N153" s="20" cm="1">
        <f t="array" ref="N153">SUM(_xlfn._xlws.FILTER($I:$I, $B:$B=B153))</f>
        <v>2203.6800000000003</v>
      </c>
      <c r="O153" s="31" t="str">
        <f t="shared" si="25"/>
        <v/>
      </c>
    </row>
    <row r="154" spans="1:15" ht="15" thickBot="1" x14ac:dyDescent="0.4">
      <c r="A154" s="3" t="s">
        <v>35</v>
      </c>
      <c r="B154" s="1" t="s">
        <v>29</v>
      </c>
      <c r="C154" s="1" t="s">
        <v>11</v>
      </c>
      <c r="D154" s="1" t="s">
        <v>27</v>
      </c>
      <c r="E154" s="1">
        <v>862.19</v>
      </c>
      <c r="F154" s="1">
        <v>18</v>
      </c>
      <c r="G154" s="1">
        <v>0.05</v>
      </c>
      <c r="H154" s="2">
        <v>45663</v>
      </c>
      <c r="I154" s="4">
        <v>286.68</v>
      </c>
      <c r="J154" s="17" t="str">
        <f t="shared" si="21"/>
        <v>Jan-25</v>
      </c>
      <c r="K154" s="20">
        <f t="shared" si="22"/>
        <v>14914.650000000001</v>
      </c>
      <c r="L154" s="30">
        <f t="shared" ca="1" si="23"/>
        <v>45979.997659837965</v>
      </c>
      <c r="M154" s="20">
        <f t="shared" si="24"/>
        <v>301.47297397176158</v>
      </c>
      <c r="N154" s="20" cm="1">
        <f t="array" ref="N154">SUM(_xlfn._xlws.FILTER($I:$I, $B:$B=B154))</f>
        <v>3241.1099999999997</v>
      </c>
      <c r="O154" s="31" t="str">
        <f t="shared" si="25"/>
        <v/>
      </c>
    </row>
    <row r="155" spans="1:15" ht="15" thickBot="1" x14ac:dyDescent="0.4">
      <c r="A155" s="3" t="s">
        <v>73</v>
      </c>
      <c r="B155" s="1" t="s">
        <v>59</v>
      </c>
      <c r="C155" s="1" t="s">
        <v>24</v>
      </c>
      <c r="D155" s="1" t="s">
        <v>15</v>
      </c>
      <c r="E155" s="1">
        <v>1171.18</v>
      </c>
      <c r="F155" s="1">
        <v>19</v>
      </c>
      <c r="G155" s="1">
        <v>0.05</v>
      </c>
      <c r="H155" s="2">
        <v>45667</v>
      </c>
      <c r="I155" s="4">
        <v>556.30999999999995</v>
      </c>
      <c r="J155" s="17" t="str">
        <f t="shared" si="21"/>
        <v>Jan-25</v>
      </c>
      <c r="K155" s="20">
        <f t="shared" si="22"/>
        <v>14914.650000000001</v>
      </c>
      <c r="L155" s="30">
        <f t="shared" ca="1" si="23"/>
        <v>45979.997659837965</v>
      </c>
      <c r="M155" s="20">
        <f t="shared" si="24"/>
        <v>409.8839657641725</v>
      </c>
      <c r="N155" s="20" cm="1">
        <f t="array" ref="N155">SUM(_xlfn._xlws.FILTER($I:$I, $B:$B=B155))</f>
        <v>2285.64</v>
      </c>
      <c r="O155" s="31" t="str">
        <f t="shared" si="25"/>
        <v/>
      </c>
    </row>
    <row r="156" spans="1:15" ht="15" thickBot="1" x14ac:dyDescent="0.4">
      <c r="A156" s="3" t="s">
        <v>58</v>
      </c>
      <c r="B156" s="1" t="s">
        <v>14</v>
      </c>
      <c r="C156" s="1" t="s">
        <v>20</v>
      </c>
      <c r="D156" s="1" t="s">
        <v>27</v>
      </c>
      <c r="E156" s="1">
        <v>1054.56</v>
      </c>
      <c r="F156" s="1">
        <v>11</v>
      </c>
      <c r="G156" s="1">
        <v>0.1</v>
      </c>
      <c r="H156" s="2">
        <v>45669</v>
      </c>
      <c r="I156" s="4">
        <v>332.19</v>
      </c>
      <c r="J156" s="17" t="str">
        <f t="shared" si="21"/>
        <v>Jan-25</v>
      </c>
      <c r="K156" s="20">
        <f t="shared" si="22"/>
        <v>14914.650000000001</v>
      </c>
      <c r="L156" s="30">
        <f t="shared" ca="1" si="23"/>
        <v>45979.997659837965</v>
      </c>
      <c r="M156" s="20">
        <f t="shared" si="24"/>
        <v>368.96714042085728</v>
      </c>
      <c r="N156" s="20" cm="1">
        <f t="array" ref="N156">SUM(_xlfn._xlws.FILTER($I:$I, $B:$B=B156))</f>
        <v>2765.53</v>
      </c>
      <c r="O156" s="31" t="str">
        <f t="shared" si="25"/>
        <v/>
      </c>
    </row>
    <row r="157" spans="1:15" ht="15" thickBot="1" x14ac:dyDescent="0.4">
      <c r="A157" s="3" t="s">
        <v>58</v>
      </c>
      <c r="B157" s="1" t="s">
        <v>23</v>
      </c>
      <c r="C157" s="1" t="s">
        <v>24</v>
      </c>
      <c r="D157" s="1" t="s">
        <v>21</v>
      </c>
      <c r="E157" s="1">
        <v>1681.21</v>
      </c>
      <c r="F157" s="1">
        <v>5</v>
      </c>
      <c r="G157" s="1">
        <v>0.2</v>
      </c>
      <c r="H157" s="2">
        <v>45670</v>
      </c>
      <c r="I157" s="4">
        <v>336.24</v>
      </c>
      <c r="J157" s="17" t="str">
        <f t="shared" si="21"/>
        <v>Jan-25</v>
      </c>
      <c r="K157" s="20">
        <f t="shared" si="22"/>
        <v>14914.650000000001</v>
      </c>
      <c r="L157" s="30">
        <f t="shared" ca="1" si="23"/>
        <v>45979.997659837965</v>
      </c>
      <c r="M157" s="20">
        <f t="shared" si="24"/>
        <v>588.83104542333081</v>
      </c>
      <c r="N157" s="20" cm="1">
        <f t="array" ref="N157">SUM(_xlfn._xlws.FILTER($I:$I, $B:$B=B157))</f>
        <v>7077.9199999999992</v>
      </c>
      <c r="O157" s="31" t="str">
        <f t="shared" si="25"/>
        <v>High Value</v>
      </c>
    </row>
    <row r="158" spans="1:15" ht="15" thickBot="1" x14ac:dyDescent="0.4">
      <c r="A158" s="3" t="s">
        <v>58</v>
      </c>
      <c r="B158" s="1" t="s">
        <v>36</v>
      </c>
      <c r="C158" s="1" t="s">
        <v>11</v>
      </c>
      <c r="D158" s="1" t="s">
        <v>15</v>
      </c>
      <c r="E158" s="1">
        <v>379.77</v>
      </c>
      <c r="F158" s="1">
        <v>9</v>
      </c>
      <c r="G158" s="1">
        <v>0.05</v>
      </c>
      <c r="H158" s="2">
        <v>45673</v>
      </c>
      <c r="I158" s="4">
        <v>180.39</v>
      </c>
      <c r="J158" s="17" t="str">
        <f t="shared" si="21"/>
        <v>Jan-25</v>
      </c>
      <c r="K158" s="20">
        <f t="shared" si="22"/>
        <v>14914.650000000001</v>
      </c>
      <c r="L158" s="30">
        <f t="shared" ca="1" si="23"/>
        <v>45979.997659837965</v>
      </c>
      <c r="M158" s="20">
        <f t="shared" si="24"/>
        <v>132.21302814667058</v>
      </c>
      <c r="N158" s="20" cm="1">
        <f t="array" ref="N158">SUM(_xlfn._xlws.FILTER($I:$I, $B:$B=B158))</f>
        <v>2919.45</v>
      </c>
      <c r="O158" s="31" t="str">
        <f t="shared" si="25"/>
        <v/>
      </c>
    </row>
    <row r="159" spans="1:15" ht="15" thickBot="1" x14ac:dyDescent="0.4">
      <c r="A159" s="3" t="s">
        <v>44</v>
      </c>
      <c r="B159" s="1" t="s">
        <v>45</v>
      </c>
      <c r="C159" s="1" t="s">
        <v>34</v>
      </c>
      <c r="D159" s="1" t="s">
        <v>15</v>
      </c>
      <c r="E159" s="1">
        <v>1076.33</v>
      </c>
      <c r="F159" s="1">
        <v>2</v>
      </c>
      <c r="G159" s="1">
        <v>0.1</v>
      </c>
      <c r="H159" s="2">
        <v>45674</v>
      </c>
      <c r="I159" s="4">
        <v>484.35</v>
      </c>
      <c r="J159" s="17" t="str">
        <f t="shared" si="21"/>
        <v>Jan-25</v>
      </c>
      <c r="K159" s="20">
        <f t="shared" si="22"/>
        <v>14914.650000000001</v>
      </c>
      <c r="L159" s="30">
        <f t="shared" ca="1" si="23"/>
        <v>45979.997659837965</v>
      </c>
      <c r="M159" s="20">
        <f t="shared" si="24"/>
        <v>376.60527528386507</v>
      </c>
      <c r="N159" s="20" cm="1">
        <f t="array" ref="N159">SUM(_xlfn._xlws.FILTER($I:$I, $B:$B=B159))</f>
        <v>3074.45</v>
      </c>
      <c r="O159" s="31" t="str">
        <f t="shared" si="25"/>
        <v/>
      </c>
    </row>
    <row r="160" spans="1:15" ht="15" thickBot="1" x14ac:dyDescent="0.4">
      <c r="A160" s="3" t="s">
        <v>44</v>
      </c>
      <c r="B160" s="1" t="s">
        <v>31</v>
      </c>
      <c r="C160" s="1" t="s">
        <v>34</v>
      </c>
      <c r="D160" s="1" t="s">
        <v>39</v>
      </c>
      <c r="E160" s="1">
        <v>1250.71</v>
      </c>
      <c r="F160" s="1">
        <v>7</v>
      </c>
      <c r="G160" s="1">
        <v>0</v>
      </c>
      <c r="H160" s="2">
        <v>45674</v>
      </c>
      <c r="I160" s="4">
        <v>562.82000000000005</v>
      </c>
      <c r="J160" s="17" t="str">
        <f t="shared" si="21"/>
        <v>Jan-25</v>
      </c>
      <c r="K160" s="20">
        <f t="shared" si="22"/>
        <v>14914.650000000001</v>
      </c>
      <c r="L160" s="30">
        <f t="shared" ca="1" si="23"/>
        <v>45979.997659837965</v>
      </c>
      <c r="M160" s="20">
        <f t="shared" si="24"/>
        <v>437.78754250533058</v>
      </c>
      <c r="N160" s="20" cm="1">
        <f t="array" ref="N160">SUM(_xlfn._xlws.FILTER($I:$I, $B:$B=B160))</f>
        <v>6553.7899999999991</v>
      </c>
      <c r="O160" s="31" t="str">
        <f t="shared" si="25"/>
        <v>High Value</v>
      </c>
    </row>
    <row r="161" spans="1:15" ht="15" thickBot="1" x14ac:dyDescent="0.4">
      <c r="A161" s="3" t="s">
        <v>40</v>
      </c>
      <c r="B161" s="1" t="s">
        <v>17</v>
      </c>
      <c r="C161" s="1" t="s">
        <v>20</v>
      </c>
      <c r="D161" s="1" t="s">
        <v>15</v>
      </c>
      <c r="E161" s="1">
        <v>1118.3399999999999</v>
      </c>
      <c r="F161" s="1">
        <v>6</v>
      </c>
      <c r="G161" s="1">
        <v>0.2</v>
      </c>
      <c r="H161" s="2">
        <v>45674</v>
      </c>
      <c r="I161" s="4">
        <v>447.34</v>
      </c>
      <c r="J161" s="17" t="str">
        <f t="shared" si="21"/>
        <v>Jan-25</v>
      </c>
      <c r="K161" s="20">
        <f t="shared" si="22"/>
        <v>14914.650000000001</v>
      </c>
      <c r="L161" s="30">
        <f t="shared" ca="1" si="23"/>
        <v>45979.997659837965</v>
      </c>
      <c r="M161" s="20">
        <f t="shared" si="24"/>
        <v>391.34473534794216</v>
      </c>
      <c r="N161" s="20" cm="1">
        <f t="array" ref="N161">SUM(_xlfn._xlws.FILTER($I:$I, $B:$B=B161))</f>
        <v>2203.6800000000003</v>
      </c>
      <c r="O161" s="31" t="str">
        <f t="shared" si="25"/>
        <v/>
      </c>
    </row>
    <row r="162" spans="1:15" ht="15" thickBot="1" x14ac:dyDescent="0.4">
      <c r="A162" s="3" t="s">
        <v>70</v>
      </c>
      <c r="B162" s="1" t="s">
        <v>53</v>
      </c>
      <c r="C162" s="1" t="s">
        <v>24</v>
      </c>
      <c r="D162" s="1" t="s">
        <v>15</v>
      </c>
      <c r="E162" s="1">
        <v>1622.62</v>
      </c>
      <c r="F162" s="1">
        <v>12</v>
      </c>
      <c r="G162" s="1">
        <v>0.2</v>
      </c>
      <c r="H162" s="2">
        <v>45677</v>
      </c>
      <c r="I162" s="4">
        <v>649.04999999999995</v>
      </c>
      <c r="J162" s="17" t="str">
        <f t="shared" ref="J162:J193" si="26">TEXT(H162,"MMM-YY")</f>
        <v>Jan-25</v>
      </c>
      <c r="K162" s="20">
        <f t="shared" ref="K162:K193" si="27">SUMIFS($E:$E, $J:$J, J162)</f>
        <v>14914.650000000001</v>
      </c>
      <c r="L162" s="30">
        <f t="shared" ref="L162:L193" ca="1" si="28">NOW()</f>
        <v>45979.997659837965</v>
      </c>
      <c r="M162" s="20">
        <f t="shared" ref="M162:M193" si="29">$S$13*E162+$S$14</f>
        <v>568.27439307497855</v>
      </c>
      <c r="N162" s="20" cm="1">
        <f t="array" ref="N162">SUM(_xlfn._xlws.FILTER($I:$I, $B:$B=B162))</f>
        <v>2912.54</v>
      </c>
      <c r="O162" s="31" t="str">
        <f t="shared" ref="O162:O193" si="30">IF(N162 &gt; AVERAGE($N:$N), "High Value", "")</f>
        <v/>
      </c>
    </row>
    <row r="163" spans="1:15" ht="15" thickBot="1" x14ac:dyDescent="0.4">
      <c r="A163" s="3" t="s">
        <v>75</v>
      </c>
      <c r="B163" s="1" t="s">
        <v>48</v>
      </c>
      <c r="C163" s="1" t="s">
        <v>24</v>
      </c>
      <c r="D163" s="1" t="s">
        <v>12</v>
      </c>
      <c r="E163" s="1">
        <v>640.64</v>
      </c>
      <c r="F163" s="1">
        <v>11</v>
      </c>
      <c r="G163" s="1">
        <v>0.2</v>
      </c>
      <c r="H163" s="2">
        <v>45678</v>
      </c>
      <c r="I163" s="4">
        <v>205</v>
      </c>
      <c r="J163" s="17" t="str">
        <f t="shared" si="26"/>
        <v>Jan-25</v>
      </c>
      <c r="K163" s="20">
        <f t="shared" si="27"/>
        <v>14914.650000000001</v>
      </c>
      <c r="L163" s="30">
        <f t="shared" ca="1" si="28"/>
        <v>45979.997659837965</v>
      </c>
      <c r="M163" s="20">
        <f t="shared" si="29"/>
        <v>223.74082978713218</v>
      </c>
      <c r="N163" s="20" cm="1">
        <f t="array" ref="N163">SUM(_xlfn._xlws.FILTER($I:$I, $B:$B=B163))</f>
        <v>2918.14</v>
      </c>
      <c r="O163" s="31" t="str">
        <f t="shared" si="30"/>
        <v/>
      </c>
    </row>
    <row r="164" spans="1:15" ht="15" thickBot="1" x14ac:dyDescent="0.4">
      <c r="A164" s="3" t="s">
        <v>22</v>
      </c>
      <c r="B164" s="1" t="s">
        <v>43</v>
      </c>
      <c r="C164" s="1" t="s">
        <v>11</v>
      </c>
      <c r="D164" s="1" t="s">
        <v>15</v>
      </c>
      <c r="E164" s="1">
        <v>585.16</v>
      </c>
      <c r="F164" s="1">
        <v>17</v>
      </c>
      <c r="G164" s="1">
        <v>0.1</v>
      </c>
      <c r="H164" s="2">
        <v>45684</v>
      </c>
      <c r="I164" s="4">
        <v>263.32</v>
      </c>
      <c r="J164" s="17" t="str">
        <f t="shared" si="26"/>
        <v>Jan-25</v>
      </c>
      <c r="K164" s="20">
        <f t="shared" si="27"/>
        <v>14914.650000000001</v>
      </c>
      <c r="L164" s="30">
        <f t="shared" ca="1" si="28"/>
        <v>45979.997659837965</v>
      </c>
      <c r="M164" s="20">
        <f t="shared" si="29"/>
        <v>204.27533956206679</v>
      </c>
      <c r="N164" s="20" cm="1">
        <f t="array" ref="N164">SUM(_xlfn._xlws.FILTER($I:$I, $B:$B=B164))</f>
        <v>2060.81</v>
      </c>
      <c r="O164" s="31" t="str">
        <f t="shared" si="30"/>
        <v/>
      </c>
    </row>
    <row r="165" spans="1:15" ht="15" thickBot="1" x14ac:dyDescent="0.4">
      <c r="A165" s="3" t="s">
        <v>22</v>
      </c>
      <c r="B165" s="1" t="s">
        <v>31</v>
      </c>
      <c r="C165" s="1" t="s">
        <v>18</v>
      </c>
      <c r="D165" s="1" t="s">
        <v>15</v>
      </c>
      <c r="E165" s="1">
        <v>1109.98</v>
      </c>
      <c r="F165" s="1">
        <v>5</v>
      </c>
      <c r="G165" s="1">
        <v>0.2</v>
      </c>
      <c r="H165" s="2">
        <v>45690</v>
      </c>
      <c r="I165" s="4">
        <v>443.99</v>
      </c>
      <c r="J165" s="17" t="str">
        <f t="shared" si="26"/>
        <v>Feb-25</v>
      </c>
      <c r="K165" s="20">
        <f t="shared" si="27"/>
        <v>14006.359999999999</v>
      </c>
      <c r="L165" s="30">
        <f t="shared" ca="1" si="28"/>
        <v>45979.997659837965</v>
      </c>
      <c r="M165" s="20">
        <f t="shared" si="29"/>
        <v>388.41157928663097</v>
      </c>
      <c r="N165" s="20" cm="1">
        <f t="array" ref="N165">SUM(_xlfn._xlws.FILTER($I:$I, $B:$B=B165))</f>
        <v>6553.7899999999991</v>
      </c>
      <c r="O165" s="31" t="str">
        <f t="shared" si="30"/>
        <v>High Value</v>
      </c>
    </row>
    <row r="166" spans="1:15" ht="15" thickBot="1" x14ac:dyDescent="0.4">
      <c r="A166" s="3" t="s">
        <v>58</v>
      </c>
      <c r="B166" s="1" t="s">
        <v>45</v>
      </c>
      <c r="C166" s="1" t="s">
        <v>18</v>
      </c>
      <c r="D166" s="1" t="s">
        <v>12</v>
      </c>
      <c r="E166" s="1">
        <v>1098.08</v>
      </c>
      <c r="F166" s="1">
        <v>9</v>
      </c>
      <c r="G166" s="1">
        <v>0.1</v>
      </c>
      <c r="H166" s="2">
        <v>45692</v>
      </c>
      <c r="I166" s="4">
        <v>395.31</v>
      </c>
      <c r="J166" s="17" t="str">
        <f t="shared" si="26"/>
        <v>Feb-25</v>
      </c>
      <c r="K166" s="20">
        <f t="shared" si="27"/>
        <v>14006.359999999999</v>
      </c>
      <c r="L166" s="30">
        <f t="shared" ca="1" si="28"/>
        <v>45979.997659837965</v>
      </c>
      <c r="M166" s="20">
        <f t="shared" si="29"/>
        <v>384.23639302710899</v>
      </c>
      <c r="N166" s="20" cm="1">
        <f t="array" ref="N166">SUM(_xlfn._xlws.FILTER($I:$I, $B:$B=B166))</f>
        <v>3074.45</v>
      </c>
      <c r="O166" s="31" t="str">
        <f t="shared" si="30"/>
        <v/>
      </c>
    </row>
    <row r="167" spans="1:15" ht="15" thickBot="1" x14ac:dyDescent="0.4">
      <c r="A167" s="3" t="s">
        <v>65</v>
      </c>
      <c r="B167" s="1" t="s">
        <v>48</v>
      </c>
      <c r="C167" s="1" t="s">
        <v>11</v>
      </c>
      <c r="D167" s="1" t="s">
        <v>39</v>
      </c>
      <c r="E167" s="1">
        <v>827.25</v>
      </c>
      <c r="F167" s="1">
        <v>7</v>
      </c>
      <c r="G167" s="1">
        <v>0.1</v>
      </c>
      <c r="H167" s="2">
        <v>45693</v>
      </c>
      <c r="I167" s="4">
        <v>335.04</v>
      </c>
      <c r="J167" s="17" t="str">
        <f t="shared" si="26"/>
        <v>Feb-25</v>
      </c>
      <c r="K167" s="20">
        <f t="shared" si="27"/>
        <v>14006.359999999999</v>
      </c>
      <c r="L167" s="30">
        <f t="shared" ca="1" si="28"/>
        <v>45979.997659837965</v>
      </c>
      <c r="M167" s="20">
        <f t="shared" si="29"/>
        <v>289.214065744224</v>
      </c>
      <c r="N167" s="20" cm="1">
        <f t="array" ref="N167">SUM(_xlfn._xlws.FILTER($I:$I, $B:$B=B167))</f>
        <v>2918.14</v>
      </c>
      <c r="O167" s="31" t="str">
        <f t="shared" si="30"/>
        <v/>
      </c>
    </row>
    <row r="168" spans="1:15" ht="15" thickBot="1" x14ac:dyDescent="0.4">
      <c r="A168" s="3" t="s">
        <v>70</v>
      </c>
      <c r="B168" s="1" t="s">
        <v>29</v>
      </c>
      <c r="C168" s="1" t="s">
        <v>34</v>
      </c>
      <c r="D168" s="1" t="s">
        <v>15</v>
      </c>
      <c r="E168" s="1">
        <v>741.88</v>
      </c>
      <c r="F168" s="1">
        <v>16</v>
      </c>
      <c r="G168" s="1">
        <v>0.1</v>
      </c>
      <c r="H168" s="2">
        <v>45695</v>
      </c>
      <c r="I168" s="4">
        <v>333.85</v>
      </c>
      <c r="J168" s="17" t="str">
        <f t="shared" si="26"/>
        <v>Feb-25</v>
      </c>
      <c r="K168" s="20">
        <f t="shared" si="27"/>
        <v>14006.359999999999</v>
      </c>
      <c r="L168" s="30">
        <f t="shared" ca="1" si="28"/>
        <v>45979.997659837965</v>
      </c>
      <c r="M168" s="20">
        <f t="shared" si="29"/>
        <v>259.26149003200641</v>
      </c>
      <c r="N168" s="20" cm="1">
        <f t="array" ref="N168">SUM(_xlfn._xlws.FILTER($I:$I, $B:$B=B168))</f>
        <v>3241.1099999999997</v>
      </c>
      <c r="O168" s="31" t="str">
        <f t="shared" si="30"/>
        <v/>
      </c>
    </row>
    <row r="169" spans="1:15" ht="15" thickBot="1" x14ac:dyDescent="0.4">
      <c r="A169" s="3" t="s">
        <v>72</v>
      </c>
      <c r="B169" s="1" t="s">
        <v>10</v>
      </c>
      <c r="C169" s="1" t="s">
        <v>18</v>
      </c>
      <c r="D169" s="1" t="s">
        <v>39</v>
      </c>
      <c r="E169" s="1">
        <v>1311.26</v>
      </c>
      <c r="F169" s="1">
        <v>6</v>
      </c>
      <c r="G169" s="1">
        <v>0.1</v>
      </c>
      <c r="H169" s="2">
        <v>45698</v>
      </c>
      <c r="I169" s="4">
        <v>531.05999999999995</v>
      </c>
      <c r="J169" s="17" t="str">
        <f t="shared" si="26"/>
        <v>Feb-25</v>
      </c>
      <c r="K169" s="20">
        <f t="shared" si="27"/>
        <v>14006.359999999999</v>
      </c>
      <c r="L169" s="30">
        <f t="shared" ca="1" si="28"/>
        <v>45979.997659837965</v>
      </c>
      <c r="M169" s="20">
        <f t="shared" si="29"/>
        <v>459.03187259054522</v>
      </c>
      <c r="N169" s="20" cm="1">
        <f t="array" ref="N169">SUM(_xlfn._xlws.FILTER($I:$I, $B:$B=B169))</f>
        <v>2122.8200000000002</v>
      </c>
      <c r="O169" s="31" t="str">
        <f t="shared" si="30"/>
        <v/>
      </c>
    </row>
    <row r="170" spans="1:15" ht="15" thickBot="1" x14ac:dyDescent="0.4">
      <c r="A170" s="3" t="s">
        <v>72</v>
      </c>
      <c r="B170" s="1" t="s">
        <v>31</v>
      </c>
      <c r="C170" s="1" t="s">
        <v>20</v>
      </c>
      <c r="D170" s="1" t="s">
        <v>39</v>
      </c>
      <c r="E170" s="1">
        <v>573.32000000000005</v>
      </c>
      <c r="F170" s="1">
        <v>19</v>
      </c>
      <c r="G170" s="1">
        <v>0.1</v>
      </c>
      <c r="H170" s="2">
        <v>45703</v>
      </c>
      <c r="I170" s="4">
        <v>232.19</v>
      </c>
      <c r="J170" s="17" t="str">
        <f t="shared" si="26"/>
        <v>Feb-25</v>
      </c>
      <c r="K170" s="20">
        <f t="shared" si="27"/>
        <v>14006.359999999999</v>
      </c>
      <c r="L170" s="30">
        <f t="shared" ca="1" si="28"/>
        <v>45979.997659837965</v>
      </c>
      <c r="M170" s="20">
        <f t="shared" si="29"/>
        <v>200.12120466183657</v>
      </c>
      <c r="N170" s="20" cm="1">
        <f t="array" ref="N170">SUM(_xlfn._xlws.FILTER($I:$I, $B:$B=B170))</f>
        <v>6553.7899999999991</v>
      </c>
      <c r="O170" s="31" t="str">
        <f t="shared" si="30"/>
        <v>High Value</v>
      </c>
    </row>
    <row r="171" spans="1:15" ht="15" thickBot="1" x14ac:dyDescent="0.4">
      <c r="A171" s="3" t="s">
        <v>52</v>
      </c>
      <c r="B171" s="1" t="s">
        <v>23</v>
      </c>
      <c r="C171" s="1" t="s">
        <v>11</v>
      </c>
      <c r="D171" s="1" t="s">
        <v>21</v>
      </c>
      <c r="E171" s="1">
        <v>1115.22</v>
      </c>
      <c r="F171" s="1">
        <v>14</v>
      </c>
      <c r="G171" s="1">
        <v>0.2</v>
      </c>
      <c r="H171" s="2">
        <v>45705</v>
      </c>
      <c r="I171" s="4">
        <v>223.04</v>
      </c>
      <c r="J171" s="17" t="str">
        <f t="shared" si="26"/>
        <v>Feb-25</v>
      </c>
      <c r="K171" s="20">
        <f t="shared" si="27"/>
        <v>14006.359999999999</v>
      </c>
      <c r="L171" s="30">
        <f t="shared" ca="1" si="28"/>
        <v>45979.997659837965</v>
      </c>
      <c r="M171" s="20">
        <f t="shared" si="29"/>
        <v>390.25006466477345</v>
      </c>
      <c r="N171" s="20" cm="1">
        <f t="array" ref="N171">SUM(_xlfn._xlws.FILTER($I:$I, $B:$B=B171))</f>
        <v>7077.9199999999992</v>
      </c>
      <c r="O171" s="31" t="str">
        <f t="shared" si="30"/>
        <v>High Value</v>
      </c>
    </row>
    <row r="172" spans="1:15" ht="15" thickBot="1" x14ac:dyDescent="0.4">
      <c r="A172" s="3" t="s">
        <v>13</v>
      </c>
      <c r="B172" s="1" t="s">
        <v>45</v>
      </c>
      <c r="C172" s="1" t="s">
        <v>24</v>
      </c>
      <c r="D172" s="1" t="s">
        <v>15</v>
      </c>
      <c r="E172" s="1">
        <v>845.84</v>
      </c>
      <c r="F172" s="1">
        <v>4</v>
      </c>
      <c r="G172" s="1">
        <v>0</v>
      </c>
      <c r="H172" s="2">
        <v>45707</v>
      </c>
      <c r="I172" s="4">
        <v>422.92</v>
      </c>
      <c r="J172" s="17" t="str">
        <f t="shared" si="26"/>
        <v>Feb-25</v>
      </c>
      <c r="K172" s="20">
        <f t="shared" si="27"/>
        <v>14006.359999999999</v>
      </c>
      <c r="L172" s="30">
        <f t="shared" ca="1" si="28"/>
        <v>45979.997659837965</v>
      </c>
      <c r="M172" s="20">
        <f t="shared" si="29"/>
        <v>295.73647856477135</v>
      </c>
      <c r="N172" s="20" cm="1">
        <f t="array" ref="N172">SUM(_xlfn._xlws.FILTER($I:$I, $B:$B=B172))</f>
        <v>3074.45</v>
      </c>
      <c r="O172" s="31" t="str">
        <f t="shared" si="30"/>
        <v/>
      </c>
    </row>
    <row r="173" spans="1:15" ht="15" thickBot="1" x14ac:dyDescent="0.4">
      <c r="A173" s="3" t="s">
        <v>30</v>
      </c>
      <c r="B173" s="1" t="s">
        <v>55</v>
      </c>
      <c r="C173" s="1" t="s">
        <v>11</v>
      </c>
      <c r="D173" s="1" t="s">
        <v>21</v>
      </c>
      <c r="E173" s="1">
        <v>1029.8</v>
      </c>
      <c r="F173" s="1">
        <v>3</v>
      </c>
      <c r="G173" s="1">
        <v>0</v>
      </c>
      <c r="H173" s="2">
        <v>45708</v>
      </c>
      <c r="I173" s="4">
        <v>257.45</v>
      </c>
      <c r="J173" s="17" t="str">
        <f t="shared" si="26"/>
        <v>Feb-25</v>
      </c>
      <c r="K173" s="20">
        <f t="shared" si="27"/>
        <v>14006.359999999999</v>
      </c>
      <c r="L173" s="30">
        <f t="shared" ca="1" si="28"/>
        <v>45979.997659837965</v>
      </c>
      <c r="M173" s="20">
        <f t="shared" si="29"/>
        <v>360.27994615314606</v>
      </c>
      <c r="N173" s="20" cm="1">
        <f t="array" ref="N173">SUM(_xlfn._xlws.FILTER($I:$I, $B:$B=B173))</f>
        <v>4061.91</v>
      </c>
      <c r="O173" s="31" t="str">
        <f t="shared" si="30"/>
        <v>High Value</v>
      </c>
    </row>
    <row r="174" spans="1:15" ht="15" thickBot="1" x14ac:dyDescent="0.4">
      <c r="A174" s="3" t="s">
        <v>32</v>
      </c>
      <c r="B174" s="1" t="s">
        <v>31</v>
      </c>
      <c r="C174" s="1" t="s">
        <v>24</v>
      </c>
      <c r="D174" s="1" t="s">
        <v>12</v>
      </c>
      <c r="E174" s="1">
        <v>1189.83</v>
      </c>
      <c r="F174" s="1">
        <v>2</v>
      </c>
      <c r="G174" s="1">
        <v>0.2</v>
      </c>
      <c r="H174" s="2">
        <v>45709</v>
      </c>
      <c r="I174" s="4">
        <v>380.75</v>
      </c>
      <c r="J174" s="17" t="str">
        <f t="shared" si="26"/>
        <v>Feb-25</v>
      </c>
      <c r="K174" s="20">
        <f t="shared" si="27"/>
        <v>14006.359999999999</v>
      </c>
      <c r="L174" s="30">
        <f t="shared" ca="1" si="28"/>
        <v>45979.997659837965</v>
      </c>
      <c r="M174" s="20">
        <f t="shared" si="29"/>
        <v>416.42742994401146</v>
      </c>
      <c r="N174" s="20" cm="1">
        <f t="array" ref="N174">SUM(_xlfn._xlws.FILTER($I:$I, $B:$B=B174))</f>
        <v>6553.7899999999991</v>
      </c>
      <c r="O174" s="31" t="str">
        <f t="shared" si="30"/>
        <v>High Value</v>
      </c>
    </row>
    <row r="175" spans="1:15" ht="15" thickBot="1" x14ac:dyDescent="0.4">
      <c r="A175" s="3" t="s">
        <v>67</v>
      </c>
      <c r="B175" s="1" t="s">
        <v>43</v>
      </c>
      <c r="C175" s="1" t="s">
        <v>20</v>
      </c>
      <c r="D175" s="1" t="s">
        <v>12</v>
      </c>
      <c r="E175" s="1">
        <v>704.28</v>
      </c>
      <c r="F175" s="1">
        <v>15</v>
      </c>
      <c r="G175" s="1">
        <v>0.2</v>
      </c>
      <c r="H175" s="2">
        <v>45712</v>
      </c>
      <c r="I175" s="4">
        <v>225.37</v>
      </c>
      <c r="J175" s="17" t="str">
        <f t="shared" si="26"/>
        <v>Feb-25</v>
      </c>
      <c r="K175" s="20">
        <f t="shared" si="27"/>
        <v>14006.359999999999</v>
      </c>
      <c r="L175" s="30">
        <f t="shared" ca="1" si="28"/>
        <v>45979.997659837965</v>
      </c>
      <c r="M175" s="20">
        <f t="shared" si="29"/>
        <v>246.06930487586976</v>
      </c>
      <c r="N175" s="20" cm="1">
        <f t="array" ref="N175">SUM(_xlfn._xlws.FILTER($I:$I, $B:$B=B175))</f>
        <v>2060.81</v>
      </c>
      <c r="O175" s="31" t="str">
        <f t="shared" si="30"/>
        <v/>
      </c>
    </row>
    <row r="176" spans="1:15" ht="15" thickBot="1" x14ac:dyDescent="0.4">
      <c r="A176" s="3" t="s">
        <v>65</v>
      </c>
      <c r="B176" s="1" t="s">
        <v>47</v>
      </c>
      <c r="C176" s="1" t="s">
        <v>34</v>
      </c>
      <c r="D176" s="1" t="s">
        <v>39</v>
      </c>
      <c r="E176" s="1">
        <v>1618.22</v>
      </c>
      <c r="F176" s="1">
        <v>12</v>
      </c>
      <c r="G176" s="1">
        <v>0.2</v>
      </c>
      <c r="H176" s="2">
        <v>45712</v>
      </c>
      <c r="I176" s="4">
        <v>582.55999999999995</v>
      </c>
      <c r="J176" s="17" t="str">
        <f t="shared" si="26"/>
        <v>Feb-25</v>
      </c>
      <c r="K176" s="20">
        <f t="shared" si="27"/>
        <v>14006.359999999999</v>
      </c>
      <c r="L176" s="30">
        <f t="shared" ca="1" si="28"/>
        <v>45979.997659837965</v>
      </c>
      <c r="M176" s="20">
        <f t="shared" si="29"/>
        <v>566.73062672692004</v>
      </c>
      <c r="N176" s="20" cm="1">
        <f t="array" ref="N176">SUM(_xlfn._xlws.FILTER($I:$I, $B:$B=B176))</f>
        <v>2339.64</v>
      </c>
      <c r="O176" s="31" t="str">
        <f t="shared" si="30"/>
        <v/>
      </c>
    </row>
    <row r="177" spans="1:15" ht="15" thickBot="1" x14ac:dyDescent="0.4">
      <c r="A177" s="3" t="s">
        <v>73</v>
      </c>
      <c r="B177" s="1" t="s">
        <v>53</v>
      </c>
      <c r="C177" s="1" t="s">
        <v>34</v>
      </c>
      <c r="D177" s="1" t="s">
        <v>12</v>
      </c>
      <c r="E177" s="1">
        <v>1014.43</v>
      </c>
      <c r="F177" s="1">
        <v>2</v>
      </c>
      <c r="G177" s="1">
        <v>0.15</v>
      </c>
      <c r="H177" s="2">
        <v>45713</v>
      </c>
      <c r="I177" s="4">
        <v>344.91</v>
      </c>
      <c r="J177" s="17" t="str">
        <f t="shared" si="26"/>
        <v>Feb-25</v>
      </c>
      <c r="K177" s="20">
        <f t="shared" si="27"/>
        <v>14006.359999999999</v>
      </c>
      <c r="L177" s="30">
        <f t="shared" ca="1" si="28"/>
        <v>45979.997659837965</v>
      </c>
      <c r="M177" s="20">
        <f t="shared" si="29"/>
        <v>354.88728961458702</v>
      </c>
      <c r="N177" s="20" cm="1">
        <f t="array" ref="N177">SUM(_xlfn._xlws.FILTER($I:$I, $B:$B=B177))</f>
        <v>2912.54</v>
      </c>
      <c r="O177" s="31" t="str">
        <f t="shared" si="30"/>
        <v/>
      </c>
    </row>
    <row r="178" spans="1:15" ht="15" thickBot="1" x14ac:dyDescent="0.4">
      <c r="A178" s="3" t="s">
        <v>75</v>
      </c>
      <c r="B178" s="1" t="s">
        <v>31</v>
      </c>
      <c r="C178" s="1" t="s">
        <v>34</v>
      </c>
      <c r="D178" s="1" t="s">
        <v>15</v>
      </c>
      <c r="E178" s="1">
        <v>826.97</v>
      </c>
      <c r="F178" s="1">
        <v>18</v>
      </c>
      <c r="G178" s="1">
        <v>0.2</v>
      </c>
      <c r="H178" s="2">
        <v>45715</v>
      </c>
      <c r="I178" s="4">
        <v>330.79</v>
      </c>
      <c r="J178" s="17" t="str">
        <f t="shared" si="26"/>
        <v>Feb-25</v>
      </c>
      <c r="K178" s="20">
        <f t="shared" si="27"/>
        <v>14006.359999999999</v>
      </c>
      <c r="L178" s="30">
        <f t="shared" ca="1" si="28"/>
        <v>45979.997659837965</v>
      </c>
      <c r="M178" s="20">
        <f t="shared" si="29"/>
        <v>289.11582606752938</v>
      </c>
      <c r="N178" s="20" cm="1">
        <f t="array" ref="N178">SUM(_xlfn._xlws.FILTER($I:$I, $B:$B=B178))</f>
        <v>6553.7899999999991</v>
      </c>
      <c r="O178" s="31" t="str">
        <f t="shared" si="30"/>
        <v>High Value</v>
      </c>
    </row>
    <row r="179" spans="1:15" ht="15" thickBot="1" x14ac:dyDescent="0.4">
      <c r="A179" s="3" t="s">
        <v>16</v>
      </c>
      <c r="B179" s="1" t="s">
        <v>31</v>
      </c>
      <c r="C179" s="1" t="s">
        <v>34</v>
      </c>
      <c r="D179" s="1" t="s">
        <v>15</v>
      </c>
      <c r="E179" s="1">
        <v>1022.23</v>
      </c>
      <c r="F179" s="1">
        <v>8</v>
      </c>
      <c r="G179" s="1">
        <v>0.1</v>
      </c>
      <c r="H179" s="2">
        <v>45717</v>
      </c>
      <c r="I179" s="4">
        <v>460</v>
      </c>
      <c r="J179" s="17" t="str">
        <f t="shared" si="26"/>
        <v>Mar-25</v>
      </c>
      <c r="K179" s="20">
        <f t="shared" si="27"/>
        <v>17655.219999999998</v>
      </c>
      <c r="L179" s="30">
        <f t="shared" ca="1" si="28"/>
        <v>45979.997659837965</v>
      </c>
      <c r="M179" s="20">
        <f t="shared" si="29"/>
        <v>357.62396632250898</v>
      </c>
      <c r="N179" s="20" cm="1">
        <f t="array" ref="N179">SUM(_xlfn._xlws.FILTER($I:$I, $B:$B=B179))</f>
        <v>6553.7899999999991</v>
      </c>
      <c r="O179" s="31" t="str">
        <f t="shared" si="30"/>
        <v>High Value</v>
      </c>
    </row>
    <row r="180" spans="1:15" ht="15" thickBot="1" x14ac:dyDescent="0.4">
      <c r="A180" s="3" t="s">
        <v>72</v>
      </c>
      <c r="B180" s="1" t="s">
        <v>29</v>
      </c>
      <c r="C180" s="1" t="s">
        <v>18</v>
      </c>
      <c r="D180" s="1" t="s">
        <v>12</v>
      </c>
      <c r="E180" s="1">
        <v>1099.69</v>
      </c>
      <c r="F180" s="1">
        <v>6</v>
      </c>
      <c r="G180" s="1">
        <v>0</v>
      </c>
      <c r="H180" s="2">
        <v>45718</v>
      </c>
      <c r="I180" s="4">
        <v>439.88</v>
      </c>
      <c r="J180" s="17" t="str">
        <f t="shared" si="26"/>
        <v>Mar-25</v>
      </c>
      <c r="K180" s="20">
        <f t="shared" si="27"/>
        <v>17655.219999999998</v>
      </c>
      <c r="L180" s="30">
        <f t="shared" ca="1" si="28"/>
        <v>45979.997659837965</v>
      </c>
      <c r="M180" s="20">
        <f t="shared" si="29"/>
        <v>384.8012711681032</v>
      </c>
      <c r="N180" s="20" cm="1">
        <f t="array" ref="N180">SUM(_xlfn._xlws.FILTER($I:$I, $B:$B=B180))</f>
        <v>3241.1099999999997</v>
      </c>
      <c r="O180" s="31" t="str">
        <f t="shared" si="30"/>
        <v/>
      </c>
    </row>
    <row r="181" spans="1:15" ht="15" thickBot="1" x14ac:dyDescent="0.4">
      <c r="A181" s="3" t="s">
        <v>52</v>
      </c>
      <c r="B181" s="1" t="s">
        <v>64</v>
      </c>
      <c r="C181" s="1" t="s">
        <v>24</v>
      </c>
      <c r="D181" s="1" t="s">
        <v>12</v>
      </c>
      <c r="E181" s="1">
        <v>710.52</v>
      </c>
      <c r="F181" s="1">
        <v>8</v>
      </c>
      <c r="G181" s="1">
        <v>0.1</v>
      </c>
      <c r="H181" s="2">
        <v>45721</v>
      </c>
      <c r="I181" s="4">
        <v>255.79</v>
      </c>
      <c r="J181" s="17" t="str">
        <f t="shared" si="26"/>
        <v>Mar-25</v>
      </c>
      <c r="K181" s="20">
        <f t="shared" si="27"/>
        <v>17655.219999999998</v>
      </c>
      <c r="L181" s="30">
        <f t="shared" ca="1" si="28"/>
        <v>45979.997659837965</v>
      </c>
      <c r="M181" s="20">
        <f t="shared" si="29"/>
        <v>248.25864624220733</v>
      </c>
      <c r="N181" s="20" cm="1">
        <f t="array" ref="N181">SUM(_xlfn._xlws.FILTER($I:$I, $B:$B=B181))</f>
        <v>2039.74</v>
      </c>
      <c r="O181" s="31" t="str">
        <f t="shared" si="30"/>
        <v/>
      </c>
    </row>
    <row r="182" spans="1:15" ht="15" thickBot="1" x14ac:dyDescent="0.4">
      <c r="A182" s="3" t="s">
        <v>52</v>
      </c>
      <c r="B182" s="1" t="s">
        <v>59</v>
      </c>
      <c r="C182" s="1" t="s">
        <v>24</v>
      </c>
      <c r="D182" s="1" t="s">
        <v>12</v>
      </c>
      <c r="E182" s="1">
        <v>499.18</v>
      </c>
      <c r="F182" s="1">
        <v>15</v>
      </c>
      <c r="G182" s="1">
        <v>0.2</v>
      </c>
      <c r="H182" s="2">
        <v>45724</v>
      </c>
      <c r="I182" s="4">
        <v>159.74</v>
      </c>
      <c r="J182" s="17" t="str">
        <f t="shared" si="26"/>
        <v>Mar-25</v>
      </c>
      <c r="K182" s="20">
        <f t="shared" si="27"/>
        <v>17655.219999999998</v>
      </c>
      <c r="L182" s="30">
        <f t="shared" ca="1" si="28"/>
        <v>45979.997659837965</v>
      </c>
      <c r="M182" s="20">
        <f t="shared" si="29"/>
        <v>174.10874169705016</v>
      </c>
      <c r="N182" s="20" cm="1">
        <f t="array" ref="N182">SUM(_xlfn._xlws.FILTER($I:$I, $B:$B=B182))</f>
        <v>2285.64</v>
      </c>
      <c r="O182" s="31" t="str">
        <f t="shared" si="30"/>
        <v/>
      </c>
    </row>
    <row r="183" spans="1:15" ht="15" thickBot="1" x14ac:dyDescent="0.4">
      <c r="A183" s="3" t="s">
        <v>37</v>
      </c>
      <c r="B183" s="1" t="s">
        <v>38</v>
      </c>
      <c r="C183" s="1" t="s">
        <v>20</v>
      </c>
      <c r="D183" s="1" t="s">
        <v>12</v>
      </c>
      <c r="E183" s="1">
        <v>1064.19</v>
      </c>
      <c r="F183" s="1">
        <v>18</v>
      </c>
      <c r="G183" s="1">
        <v>0.05</v>
      </c>
      <c r="H183" s="2">
        <v>45725</v>
      </c>
      <c r="I183" s="4">
        <v>404.39</v>
      </c>
      <c r="J183" s="17" t="str">
        <f t="shared" si="26"/>
        <v>Mar-25</v>
      </c>
      <c r="K183" s="20">
        <f t="shared" si="27"/>
        <v>17655.219999999998</v>
      </c>
      <c r="L183" s="30">
        <f t="shared" ca="1" si="28"/>
        <v>45979.997659837965</v>
      </c>
      <c r="M183" s="20">
        <f t="shared" si="29"/>
        <v>372.34588358717633</v>
      </c>
      <c r="N183" s="20" cm="1">
        <f t="array" ref="N183">SUM(_xlfn._xlws.FILTER($I:$I, $B:$B=B183))</f>
        <v>3846.93</v>
      </c>
      <c r="O183" s="31" t="str">
        <f t="shared" si="30"/>
        <v>High Value</v>
      </c>
    </row>
    <row r="184" spans="1:15" ht="15" thickBot="1" x14ac:dyDescent="0.4">
      <c r="A184" s="3" t="s">
        <v>67</v>
      </c>
      <c r="B184" s="1" t="s">
        <v>38</v>
      </c>
      <c r="C184" s="1" t="s">
        <v>18</v>
      </c>
      <c r="D184" s="1" t="s">
        <v>39</v>
      </c>
      <c r="E184" s="1">
        <v>438.76</v>
      </c>
      <c r="F184" s="1">
        <v>18</v>
      </c>
      <c r="G184" s="1">
        <v>0.05</v>
      </c>
      <c r="H184" s="2">
        <v>45726</v>
      </c>
      <c r="I184" s="4">
        <v>187.57</v>
      </c>
      <c r="J184" s="17" t="str">
        <f t="shared" si="26"/>
        <v>Mar-25</v>
      </c>
      <c r="K184" s="20">
        <f t="shared" si="27"/>
        <v>17655.219999999998</v>
      </c>
      <c r="L184" s="30">
        <f t="shared" ca="1" si="28"/>
        <v>45979.997659837965</v>
      </c>
      <c r="M184" s="20">
        <f t="shared" si="29"/>
        <v>152.91002289030087</v>
      </c>
      <c r="N184" s="20" cm="1">
        <f t="array" ref="N184">SUM(_xlfn._xlws.FILTER($I:$I, $B:$B=B184))</f>
        <v>3846.93</v>
      </c>
      <c r="O184" s="31" t="str">
        <f t="shared" si="30"/>
        <v>High Value</v>
      </c>
    </row>
    <row r="185" spans="1:15" ht="15" thickBot="1" x14ac:dyDescent="0.4">
      <c r="A185" s="3" t="s">
        <v>41</v>
      </c>
      <c r="B185" s="1" t="s">
        <v>55</v>
      </c>
      <c r="C185" s="1" t="s">
        <v>11</v>
      </c>
      <c r="D185" s="1" t="s">
        <v>15</v>
      </c>
      <c r="E185" s="1">
        <v>864.98</v>
      </c>
      <c r="F185" s="1">
        <v>2</v>
      </c>
      <c r="G185" s="1">
        <v>0.05</v>
      </c>
      <c r="H185" s="2">
        <v>45727</v>
      </c>
      <c r="I185" s="4">
        <v>410.87</v>
      </c>
      <c r="J185" s="17" t="str">
        <f t="shared" si="26"/>
        <v>Mar-25</v>
      </c>
      <c r="K185" s="20">
        <f t="shared" si="27"/>
        <v>17655.219999999998</v>
      </c>
      <c r="L185" s="30">
        <f t="shared" ca="1" si="28"/>
        <v>45979.997659837965</v>
      </c>
      <c r="M185" s="20">
        <f t="shared" si="29"/>
        <v>302.45186217882599</v>
      </c>
      <c r="N185" s="20" cm="1">
        <f t="array" ref="N185">SUM(_xlfn._xlws.FILTER($I:$I, $B:$B=B185))</f>
        <v>4061.91</v>
      </c>
      <c r="O185" s="31" t="str">
        <f t="shared" si="30"/>
        <v>High Value</v>
      </c>
    </row>
    <row r="186" spans="1:15" ht="15" thickBot="1" x14ac:dyDescent="0.4">
      <c r="A186" s="3" t="s">
        <v>57</v>
      </c>
      <c r="B186" s="1" t="s">
        <v>55</v>
      </c>
      <c r="C186" s="1" t="s">
        <v>11</v>
      </c>
      <c r="D186" s="1" t="s">
        <v>27</v>
      </c>
      <c r="E186" s="1">
        <v>984.93</v>
      </c>
      <c r="F186" s="1">
        <v>14</v>
      </c>
      <c r="G186" s="1">
        <v>0.2</v>
      </c>
      <c r="H186" s="2">
        <v>45733</v>
      </c>
      <c r="I186" s="4">
        <v>275.77999999999997</v>
      </c>
      <c r="J186" s="17" t="str">
        <f t="shared" si="26"/>
        <v>Mar-25</v>
      </c>
      <c r="K186" s="20">
        <f t="shared" si="27"/>
        <v>17655.219999999998</v>
      </c>
      <c r="L186" s="30">
        <f t="shared" ca="1" si="28"/>
        <v>45979.997659837965</v>
      </c>
      <c r="M186" s="20">
        <f t="shared" si="29"/>
        <v>344.53703796283088</v>
      </c>
      <c r="N186" s="20" cm="1">
        <f t="array" ref="N186">SUM(_xlfn._xlws.FILTER($I:$I, $B:$B=B186))</f>
        <v>4061.91</v>
      </c>
      <c r="O186" s="31" t="str">
        <f t="shared" si="30"/>
        <v>High Value</v>
      </c>
    </row>
    <row r="187" spans="1:15" ht="15" thickBot="1" x14ac:dyDescent="0.4">
      <c r="A187" s="3" t="s">
        <v>25</v>
      </c>
      <c r="B187" s="1" t="s">
        <v>55</v>
      </c>
      <c r="C187" s="1" t="s">
        <v>11</v>
      </c>
      <c r="D187" s="1" t="s">
        <v>15</v>
      </c>
      <c r="E187" s="1">
        <v>1493.49</v>
      </c>
      <c r="F187" s="1">
        <v>18</v>
      </c>
      <c r="G187" s="1">
        <v>0</v>
      </c>
      <c r="H187" s="2">
        <v>45734</v>
      </c>
      <c r="I187" s="4">
        <v>746.74</v>
      </c>
      <c r="J187" s="17" t="str">
        <f t="shared" si="26"/>
        <v>Mar-25</v>
      </c>
      <c r="K187" s="20">
        <f t="shared" si="27"/>
        <v>17655.219999999998</v>
      </c>
      <c r="L187" s="30">
        <f t="shared" ca="1" si="28"/>
        <v>45979.997659837965</v>
      </c>
      <c r="M187" s="20">
        <f t="shared" si="29"/>
        <v>522.96835931934243</v>
      </c>
      <c r="N187" s="20" cm="1">
        <f t="array" ref="N187">SUM(_xlfn._xlws.FILTER($I:$I, $B:$B=B187))</f>
        <v>4061.91</v>
      </c>
      <c r="O187" s="31" t="str">
        <f t="shared" si="30"/>
        <v>High Value</v>
      </c>
    </row>
    <row r="188" spans="1:15" ht="15" thickBot="1" x14ac:dyDescent="0.4">
      <c r="A188" s="3" t="s">
        <v>32</v>
      </c>
      <c r="B188" s="1" t="s">
        <v>53</v>
      </c>
      <c r="C188" s="1" t="s">
        <v>20</v>
      </c>
      <c r="D188" s="1" t="s">
        <v>15</v>
      </c>
      <c r="E188" s="1">
        <v>689.43</v>
      </c>
      <c r="F188" s="1">
        <v>9</v>
      </c>
      <c r="G188" s="1">
        <v>0.1</v>
      </c>
      <c r="H188" s="2">
        <v>45736</v>
      </c>
      <c r="I188" s="4">
        <v>310.24</v>
      </c>
      <c r="J188" s="17" t="str">
        <f t="shared" si="26"/>
        <v>Mar-25</v>
      </c>
      <c r="K188" s="20">
        <f t="shared" si="27"/>
        <v>17655.219999999998</v>
      </c>
      <c r="L188" s="30">
        <f t="shared" ca="1" si="28"/>
        <v>45979.997659837965</v>
      </c>
      <c r="M188" s="20">
        <f t="shared" si="29"/>
        <v>240.85909345117219</v>
      </c>
      <c r="N188" s="20" cm="1">
        <f t="array" ref="N188">SUM(_xlfn._xlws.FILTER($I:$I, $B:$B=B188))</f>
        <v>2912.54</v>
      </c>
      <c r="O188" s="31" t="str">
        <f t="shared" si="30"/>
        <v/>
      </c>
    </row>
    <row r="189" spans="1:15" ht="15" thickBot="1" x14ac:dyDescent="0.4">
      <c r="A189" s="3" t="s">
        <v>40</v>
      </c>
      <c r="B189" s="1" t="s">
        <v>59</v>
      </c>
      <c r="C189" s="1" t="s">
        <v>20</v>
      </c>
      <c r="D189" s="1" t="s">
        <v>15</v>
      </c>
      <c r="E189" s="1">
        <v>682.24</v>
      </c>
      <c r="F189" s="1">
        <v>1</v>
      </c>
      <c r="G189" s="1">
        <v>0</v>
      </c>
      <c r="H189" s="2">
        <v>45738</v>
      </c>
      <c r="I189" s="4">
        <v>341.12</v>
      </c>
      <c r="J189" s="17" t="str">
        <f t="shared" si="26"/>
        <v>Mar-25</v>
      </c>
      <c r="K189" s="20">
        <f t="shared" si="27"/>
        <v>17655.219999999998</v>
      </c>
      <c r="L189" s="30">
        <f t="shared" ca="1" si="28"/>
        <v>45979.997659837965</v>
      </c>
      <c r="M189" s="20">
        <f t="shared" si="29"/>
        <v>238.33643889604929</v>
      </c>
      <c r="N189" s="20" cm="1">
        <f t="array" ref="N189">SUM(_xlfn._xlws.FILTER($I:$I, $B:$B=B189))</f>
        <v>2285.64</v>
      </c>
      <c r="O189" s="31" t="str">
        <f t="shared" si="30"/>
        <v/>
      </c>
    </row>
    <row r="190" spans="1:15" ht="15" thickBot="1" x14ac:dyDescent="0.4">
      <c r="A190" s="3" t="s">
        <v>41</v>
      </c>
      <c r="B190" s="1" t="s">
        <v>26</v>
      </c>
      <c r="C190" s="1" t="s">
        <v>24</v>
      </c>
      <c r="D190" s="1" t="s">
        <v>21</v>
      </c>
      <c r="E190" s="1">
        <v>458.54</v>
      </c>
      <c r="F190" s="1">
        <v>15</v>
      </c>
      <c r="G190" s="1">
        <v>0.2</v>
      </c>
      <c r="H190" s="2">
        <v>45741</v>
      </c>
      <c r="I190" s="4">
        <v>91.71</v>
      </c>
      <c r="J190" s="17" t="str">
        <f t="shared" si="26"/>
        <v>Mar-25</v>
      </c>
      <c r="K190" s="20">
        <f t="shared" si="27"/>
        <v>17655.219999999998</v>
      </c>
      <c r="L190" s="30">
        <f t="shared" ca="1" si="28"/>
        <v>45979.997659837965</v>
      </c>
      <c r="M190" s="20">
        <f t="shared" si="29"/>
        <v>159.84995433680038</v>
      </c>
      <c r="N190" s="20" cm="1">
        <f t="array" ref="N190">SUM(_xlfn._xlws.FILTER($I:$I, $B:$B=B190))</f>
        <v>2535.5100000000002</v>
      </c>
      <c r="O190" s="31" t="str">
        <f t="shared" si="30"/>
        <v/>
      </c>
    </row>
    <row r="191" spans="1:15" ht="15" thickBot="1" x14ac:dyDescent="0.4">
      <c r="A191" s="3" t="s">
        <v>32</v>
      </c>
      <c r="B191" s="1" t="s">
        <v>26</v>
      </c>
      <c r="C191" s="1" t="s">
        <v>20</v>
      </c>
      <c r="D191" s="1" t="s">
        <v>27</v>
      </c>
      <c r="E191" s="1">
        <v>1184.25</v>
      </c>
      <c r="F191" s="1">
        <v>11</v>
      </c>
      <c r="G191" s="1">
        <v>0.2</v>
      </c>
      <c r="H191" s="2">
        <v>45742</v>
      </c>
      <c r="I191" s="4">
        <v>331.59</v>
      </c>
      <c r="J191" s="17" t="str">
        <f t="shared" si="26"/>
        <v>Mar-25</v>
      </c>
      <c r="K191" s="20">
        <f t="shared" si="27"/>
        <v>17655.219999999998</v>
      </c>
      <c r="L191" s="30">
        <f t="shared" ca="1" si="28"/>
        <v>45979.997659837965</v>
      </c>
      <c r="M191" s="20">
        <f t="shared" si="29"/>
        <v>414.46965352988269</v>
      </c>
      <c r="N191" s="20" cm="1">
        <f t="array" ref="N191">SUM(_xlfn._xlws.FILTER($I:$I, $B:$B=B191))</f>
        <v>2535.5100000000002</v>
      </c>
      <c r="O191" s="31" t="str">
        <f t="shared" si="30"/>
        <v/>
      </c>
    </row>
    <row r="192" spans="1:15" ht="15" thickBot="1" x14ac:dyDescent="0.4">
      <c r="A192" s="3" t="s">
        <v>25</v>
      </c>
      <c r="B192" s="1" t="s">
        <v>10</v>
      </c>
      <c r="C192" s="1" t="s">
        <v>20</v>
      </c>
      <c r="D192" s="1" t="s">
        <v>15</v>
      </c>
      <c r="E192" s="1">
        <v>762.14</v>
      </c>
      <c r="F192" s="1">
        <v>9</v>
      </c>
      <c r="G192" s="1">
        <v>0</v>
      </c>
      <c r="H192" s="2">
        <v>45743</v>
      </c>
      <c r="I192" s="4">
        <v>381.07</v>
      </c>
      <c r="J192" s="17" t="str">
        <f t="shared" si="26"/>
        <v>Mar-25</v>
      </c>
      <c r="K192" s="20">
        <f t="shared" si="27"/>
        <v>17655.219999999998</v>
      </c>
      <c r="L192" s="30">
        <f t="shared" ca="1" si="28"/>
        <v>45979.997659837965</v>
      </c>
      <c r="M192" s="20">
        <f t="shared" si="29"/>
        <v>266.36983235283958</v>
      </c>
      <c r="N192" s="20" cm="1">
        <f t="array" ref="N192">SUM(_xlfn._xlws.FILTER($I:$I, $B:$B=B192))</f>
        <v>2122.8200000000002</v>
      </c>
      <c r="O192" s="31" t="str">
        <f t="shared" si="30"/>
        <v/>
      </c>
    </row>
    <row r="193" spans="1:15" ht="15" thickBot="1" x14ac:dyDescent="0.4">
      <c r="A193" s="3" t="s">
        <v>22</v>
      </c>
      <c r="B193" s="1" t="s">
        <v>53</v>
      </c>
      <c r="C193" s="1" t="s">
        <v>24</v>
      </c>
      <c r="D193" s="1" t="s">
        <v>12</v>
      </c>
      <c r="E193" s="1">
        <v>750.71</v>
      </c>
      <c r="F193" s="1">
        <v>10</v>
      </c>
      <c r="G193" s="1">
        <v>0.15</v>
      </c>
      <c r="H193" s="2">
        <v>45743</v>
      </c>
      <c r="I193" s="4">
        <v>255.24</v>
      </c>
      <c r="J193" s="17" t="str">
        <f t="shared" si="26"/>
        <v>Mar-25</v>
      </c>
      <c r="K193" s="20">
        <f t="shared" si="27"/>
        <v>17655.219999999998</v>
      </c>
      <c r="L193" s="30">
        <f t="shared" ca="1" si="28"/>
        <v>45979.997659837965</v>
      </c>
      <c r="M193" s="20">
        <f t="shared" si="29"/>
        <v>262.35954840776935</v>
      </c>
      <c r="N193" s="20" cm="1">
        <f t="array" ref="N193">SUM(_xlfn._xlws.FILTER($I:$I, $B:$B=B193))</f>
        <v>2912.54</v>
      </c>
      <c r="O193" s="31" t="str">
        <f t="shared" si="30"/>
        <v/>
      </c>
    </row>
    <row r="194" spans="1:15" ht="15" thickBot="1" x14ac:dyDescent="0.4">
      <c r="A194" s="3" t="s">
        <v>75</v>
      </c>
      <c r="B194" s="1" t="s">
        <v>71</v>
      </c>
      <c r="C194" s="1" t="s">
        <v>34</v>
      </c>
      <c r="D194" s="1" t="s">
        <v>15</v>
      </c>
      <c r="E194" s="1">
        <v>1456.94</v>
      </c>
      <c r="F194" s="1">
        <v>14</v>
      </c>
      <c r="G194" s="1">
        <v>0.05</v>
      </c>
      <c r="H194" s="2">
        <v>45745</v>
      </c>
      <c r="I194" s="4">
        <v>692.05</v>
      </c>
      <c r="J194" s="17" t="str">
        <f t="shared" ref="J194:J201" si="31">TEXT(H194,"MMM-YY")</f>
        <v>Mar-25</v>
      </c>
      <c r="K194" s="20">
        <f t="shared" ref="K194:K225" si="32">SUMIFS($E:$E, $J:$J, J194)</f>
        <v>17655.219999999998</v>
      </c>
      <c r="L194" s="30">
        <f t="shared" ref="L194:L201" ca="1" si="33">NOW()</f>
        <v>45979.997659837965</v>
      </c>
      <c r="M194" s="20">
        <f t="shared" ref="M194:M201" si="34">$S$13*E194+$S$14</f>
        <v>510.1445729508107</v>
      </c>
      <c r="N194" s="20" cm="1">
        <f t="array" ref="N194">SUM(_xlfn._xlws.FILTER($I:$I, $B:$B=B194))</f>
        <v>1937.8500000000001</v>
      </c>
      <c r="O194" s="31" t="str">
        <f t="shared" ref="O194:O225" si="35">IF(N194 &gt; AVERAGE($N:$N), "High Value", "")</f>
        <v/>
      </c>
    </row>
    <row r="195" spans="1:15" ht="15" thickBot="1" x14ac:dyDescent="0.4">
      <c r="A195" s="3" t="s">
        <v>44</v>
      </c>
      <c r="B195" s="1" t="s">
        <v>61</v>
      </c>
      <c r="C195" s="1" t="s">
        <v>18</v>
      </c>
      <c r="D195" s="1" t="s">
        <v>27</v>
      </c>
      <c r="E195" s="1">
        <v>1093.3800000000001</v>
      </c>
      <c r="F195" s="1">
        <v>17</v>
      </c>
      <c r="G195" s="1">
        <v>0.1</v>
      </c>
      <c r="H195" s="2">
        <v>45745</v>
      </c>
      <c r="I195" s="4">
        <v>344.41</v>
      </c>
      <c r="J195" s="17" t="str">
        <f t="shared" si="31"/>
        <v>Mar-25</v>
      </c>
      <c r="K195" s="20">
        <f t="shared" si="32"/>
        <v>17655.219999999998</v>
      </c>
      <c r="L195" s="30">
        <f t="shared" ca="1" si="33"/>
        <v>45979.997659837965</v>
      </c>
      <c r="M195" s="20">
        <f t="shared" si="34"/>
        <v>382.58736988259199</v>
      </c>
      <c r="N195" s="20" cm="1">
        <f t="array" ref="N195">SUM(_xlfn._xlws.FILTER($I:$I, $B:$B=B195))</f>
        <v>2718.8399999999997</v>
      </c>
      <c r="O195" s="31" t="str">
        <f t="shared" si="35"/>
        <v/>
      </c>
    </row>
    <row r="196" spans="1:15" ht="15" thickBot="1" x14ac:dyDescent="0.4">
      <c r="A196" s="3" t="s">
        <v>37</v>
      </c>
      <c r="B196" s="1" t="s">
        <v>43</v>
      </c>
      <c r="C196" s="1" t="s">
        <v>11</v>
      </c>
      <c r="D196" s="1" t="s">
        <v>15</v>
      </c>
      <c r="E196" s="1">
        <v>934.27</v>
      </c>
      <c r="F196" s="1">
        <v>8</v>
      </c>
      <c r="G196" s="1">
        <v>0.15</v>
      </c>
      <c r="H196" s="2">
        <v>45746</v>
      </c>
      <c r="I196" s="4">
        <v>397.06</v>
      </c>
      <c r="J196" s="17" t="str">
        <f t="shared" si="31"/>
        <v>Mar-25</v>
      </c>
      <c r="K196" s="20">
        <f t="shared" si="32"/>
        <v>17655.219999999998</v>
      </c>
      <c r="L196" s="30">
        <f t="shared" ca="1" si="33"/>
        <v>45979.997659837965</v>
      </c>
      <c r="M196" s="20">
        <f t="shared" si="34"/>
        <v>326.76267360086598</v>
      </c>
      <c r="N196" s="20" cm="1">
        <f t="array" ref="N196">SUM(_xlfn._xlws.FILTER($I:$I, $B:$B=B196))</f>
        <v>2060.81</v>
      </c>
      <c r="O196" s="31" t="str">
        <f t="shared" si="35"/>
        <v/>
      </c>
    </row>
    <row r="197" spans="1:15" ht="15" thickBot="1" x14ac:dyDescent="0.4">
      <c r="A197" s="3" t="s">
        <v>70</v>
      </c>
      <c r="B197" s="1" t="s">
        <v>36</v>
      </c>
      <c r="C197" s="1" t="s">
        <v>34</v>
      </c>
      <c r="D197" s="1" t="s">
        <v>15</v>
      </c>
      <c r="E197" s="1">
        <v>1465.35</v>
      </c>
      <c r="F197" s="1">
        <v>8</v>
      </c>
      <c r="G197" s="1">
        <v>0.2</v>
      </c>
      <c r="H197" s="2">
        <v>45746</v>
      </c>
      <c r="I197" s="4">
        <v>586.14</v>
      </c>
      <c r="J197" s="17" t="str">
        <f t="shared" si="31"/>
        <v>Mar-25</v>
      </c>
      <c r="K197" s="20">
        <f t="shared" si="32"/>
        <v>17655.219999999998</v>
      </c>
      <c r="L197" s="30">
        <f t="shared" ca="1" si="33"/>
        <v>45979.997659837965</v>
      </c>
      <c r="M197" s="20">
        <f t="shared" si="34"/>
        <v>513.09527181153157</v>
      </c>
      <c r="N197" s="20" cm="1">
        <f t="array" ref="N197">SUM(_xlfn._xlws.FILTER($I:$I, $B:$B=B197))</f>
        <v>2919.45</v>
      </c>
      <c r="O197" s="31" t="str">
        <f t="shared" si="35"/>
        <v/>
      </c>
    </row>
    <row r="198" spans="1:15" ht="15" thickBot="1" x14ac:dyDescent="0.4">
      <c r="A198" s="3" t="s">
        <v>52</v>
      </c>
      <c r="B198" s="1" t="s">
        <v>14</v>
      </c>
      <c r="C198" s="1" t="s">
        <v>20</v>
      </c>
      <c r="D198" s="1" t="s">
        <v>39</v>
      </c>
      <c r="E198" s="1">
        <v>740.8</v>
      </c>
      <c r="F198" s="1">
        <v>3</v>
      </c>
      <c r="G198" s="1">
        <v>0</v>
      </c>
      <c r="H198" s="2">
        <v>45749</v>
      </c>
      <c r="I198" s="4">
        <v>333.36</v>
      </c>
      <c r="J198" s="17" t="str">
        <f t="shared" si="31"/>
        <v>Apr-25</v>
      </c>
      <c r="K198" s="20">
        <f t="shared" si="32"/>
        <v>3212.17</v>
      </c>
      <c r="L198" s="30">
        <f t="shared" ca="1" si="33"/>
        <v>45979.997659837965</v>
      </c>
      <c r="M198" s="20">
        <f t="shared" si="34"/>
        <v>258.88256556475562</v>
      </c>
      <c r="N198" s="20" cm="1">
        <f t="array" ref="N198">SUM(_xlfn._xlws.FILTER($I:$I, $B:$B=B198))</f>
        <v>2765.53</v>
      </c>
      <c r="O198" s="31" t="str">
        <f t="shared" si="35"/>
        <v/>
      </c>
    </row>
    <row r="199" spans="1:15" ht="15" thickBot="1" x14ac:dyDescent="0.4">
      <c r="A199" s="3" t="s">
        <v>58</v>
      </c>
      <c r="B199" s="1" t="s">
        <v>43</v>
      </c>
      <c r="C199" s="1" t="s">
        <v>11</v>
      </c>
      <c r="D199" s="1" t="s">
        <v>39</v>
      </c>
      <c r="E199" s="1">
        <v>545.44000000000005</v>
      </c>
      <c r="F199" s="1">
        <v>17</v>
      </c>
      <c r="G199" s="1">
        <v>0</v>
      </c>
      <c r="H199" s="2">
        <v>45752</v>
      </c>
      <c r="I199" s="4">
        <v>245.45</v>
      </c>
      <c r="J199" s="17" t="str">
        <f t="shared" si="31"/>
        <v>Apr-25</v>
      </c>
      <c r="K199" s="20">
        <f t="shared" si="32"/>
        <v>3212.17</v>
      </c>
      <c r="L199" s="30">
        <f t="shared" ca="1" si="33"/>
        <v>45979.997659837965</v>
      </c>
      <c r="M199" s="20">
        <f t="shared" si="34"/>
        <v>190.33933971095655</v>
      </c>
      <c r="N199" s="20" cm="1">
        <f t="array" ref="N199">SUM(_xlfn._xlws.FILTER($I:$I, $B:$B=B199))</f>
        <v>2060.81</v>
      </c>
      <c r="O199" s="31" t="str">
        <f t="shared" si="35"/>
        <v/>
      </c>
    </row>
    <row r="200" spans="1:15" ht="15" thickBot="1" x14ac:dyDescent="0.4">
      <c r="A200" s="3" t="s">
        <v>35</v>
      </c>
      <c r="B200" s="1" t="s">
        <v>36</v>
      </c>
      <c r="C200" s="1" t="s">
        <v>18</v>
      </c>
      <c r="D200" s="1" t="s">
        <v>12</v>
      </c>
      <c r="E200" s="1">
        <v>997.61</v>
      </c>
      <c r="F200" s="1">
        <v>8</v>
      </c>
      <c r="G200" s="1">
        <v>0.05</v>
      </c>
      <c r="H200" s="2">
        <v>45752</v>
      </c>
      <c r="I200" s="4">
        <v>379.09</v>
      </c>
      <c r="J200" s="17" t="str">
        <f t="shared" si="31"/>
        <v>Apr-25</v>
      </c>
      <c r="K200" s="20">
        <f t="shared" si="32"/>
        <v>3212.17</v>
      </c>
      <c r="L200" s="30">
        <f t="shared" ca="1" si="33"/>
        <v>45979.997659837965</v>
      </c>
      <c r="M200" s="20">
        <f t="shared" si="34"/>
        <v>348.98589189314504</v>
      </c>
      <c r="N200" s="20" cm="1">
        <f t="array" ref="N200">SUM(_xlfn._xlws.FILTER($I:$I, $B:$B=B200))</f>
        <v>2919.45</v>
      </c>
      <c r="O200" s="31" t="str">
        <f t="shared" si="35"/>
        <v/>
      </c>
    </row>
    <row r="201" spans="1:15" x14ac:dyDescent="0.35">
      <c r="A201" s="5" t="s">
        <v>60</v>
      </c>
      <c r="B201" s="6" t="s">
        <v>36</v>
      </c>
      <c r="C201" s="6" t="s">
        <v>20</v>
      </c>
      <c r="D201" s="6" t="s">
        <v>15</v>
      </c>
      <c r="E201" s="6">
        <v>928.32</v>
      </c>
      <c r="F201" s="6">
        <v>2</v>
      </c>
      <c r="G201" s="6">
        <v>0.05</v>
      </c>
      <c r="H201" s="7">
        <v>45754</v>
      </c>
      <c r="I201" s="8">
        <v>440.95</v>
      </c>
      <c r="J201" s="19" t="str">
        <f t="shared" si="31"/>
        <v>Apr-25</v>
      </c>
      <c r="K201" s="20">
        <f t="shared" si="32"/>
        <v>3212.17</v>
      </c>
      <c r="L201" s="30">
        <f t="shared" ca="1" si="33"/>
        <v>45979.997659837965</v>
      </c>
      <c r="M201" s="20">
        <f t="shared" si="34"/>
        <v>324.67508047110505</v>
      </c>
      <c r="N201" s="20" cm="1">
        <f t="array" ref="N201">SUM(_xlfn._xlws.FILTER($I:$I, $B:$B=B201))</f>
        <v>2919.45</v>
      </c>
      <c r="O201" s="31" t="str">
        <f t="shared" si="35"/>
        <v/>
      </c>
    </row>
  </sheetData>
  <mergeCells count="8">
    <mergeCell ref="Q24:R24"/>
    <mergeCell ref="Q25:R25"/>
    <mergeCell ref="Q1:S1"/>
    <mergeCell ref="Q19:R19"/>
    <mergeCell ref="Q20:R20"/>
    <mergeCell ref="Q21:R21"/>
    <mergeCell ref="Q22:R22"/>
    <mergeCell ref="Q23:R23"/>
  </mergeCells>
  <phoneticPr fontId="2" type="noConversion"/>
  <conditionalFormatting sqref="E1:E201">
    <cfRule type="top10" dxfId="0" priority="2" rank="10"/>
  </conditionalFormatting>
  <conditionalFormatting sqref="K2:K201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5"/>
  <drawing r:id="rId6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E3E4-663D-4C9F-9E2D-39CFA734BFEE}">
  <dimension ref="B2:R3"/>
  <sheetViews>
    <sheetView showGridLines="0" tabSelected="1" zoomScale="80" zoomScaleNormal="80" workbookViewId="0">
      <selection activeCell="T9" sqref="T9"/>
    </sheetView>
  </sheetViews>
  <sheetFormatPr defaultRowHeight="14.5" x14ac:dyDescent="0.35"/>
  <sheetData>
    <row r="2" spans="2:18" x14ac:dyDescent="0.35">
      <c r="B2" s="33" t="s">
        <v>111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2:18" x14ac:dyDescent="0.3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</sheetData>
  <mergeCells count="1">
    <mergeCell ref="B2:R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RawData</vt:lpstr>
      <vt:lpstr>Dashboard</vt:lpstr>
      <vt:lpstr>Discount_Input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Paree Sojitra</dc:creator>
  <cp:lastModifiedBy>Paree Sojitra</cp:lastModifiedBy>
  <dcterms:created xsi:type="dcterms:W3CDTF">2025-11-17T17:31:04Z</dcterms:created>
  <dcterms:modified xsi:type="dcterms:W3CDTF">2025-11-18T18:26:57Z</dcterms:modified>
</cp:coreProperties>
</file>